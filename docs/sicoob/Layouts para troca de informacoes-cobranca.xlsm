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8C4F1C90-05EB-6A55-5F09-09C24B55AC0B}"/>
  <workbookPr showInkAnnotation="0" codeName="EstaPasta_de_trabalho" defaultThemeVersion="124226"/>
  <mc:AlternateContent xmlns:mc="http://schemas.openxmlformats.org/markup-compatibility/2006">
    <mc:Choice Requires="x15">
      <x15ac:absPath xmlns:x15ac="http://schemas.microsoft.com/office/spreadsheetml/2010/11/ac" url="X:\ÁREA ADMINISTRATIVA\3_UNIDADE DE TECNOLOGIA\CEDENTE\layouts\"/>
    </mc:Choice>
  </mc:AlternateContent>
  <bookViews>
    <workbookView xWindow="0" yWindow="0" windowWidth="21600" windowHeight="9735" tabRatio="960" firstSheet="4" activeTab="9"/>
  </bookViews>
  <sheets>
    <sheet name="Parâmetros" sheetId="2" state="hidden" r:id="rId1"/>
    <sheet name="Introdução" sheetId="12" r:id="rId2"/>
    <sheet name="Recomendações" sheetId="14" r:id="rId3"/>
    <sheet name="01.Capa" sheetId="1" r:id="rId4"/>
    <sheet name="02.Especificações do Boleto" sheetId="8" r:id="rId5"/>
    <sheet name="03.Remessa - CNAB400" sheetId="3" r:id="rId6"/>
    <sheet name="04.Retorno - CNAB400" sheetId="10" r:id="rId7"/>
    <sheet name="05.Remessa - Opção CNAB240" sheetId="9" r:id="rId8"/>
    <sheet name="06.Retorno - Opção CNAB240" sheetId="13" r:id="rId9"/>
    <sheet name="07.Pré-homologação de Boletos" sheetId="6" r:id="rId10"/>
    <sheet name="08.Funções em Delphi" sheetId="11" r:id="rId11"/>
  </sheets>
  <definedNames>
    <definedName name="_07._Pré_homologação_de_boletos">Introdução!$A$19</definedName>
    <definedName name="_xlnm._FilterDatabase" localSheetId="3" hidden="1">'01.Capa'!$K$6:$K$7</definedName>
    <definedName name="_xlnm.Print_Area" localSheetId="3">'01.Capa'!$A$1:$K$16</definedName>
    <definedName name="_xlnm.Print_Area" localSheetId="4">'02.Especificações do Boleto'!$A$1:$M$311</definedName>
    <definedName name="_xlnm.Print_Area" localSheetId="7">'05.Remessa - Opção CNAB240'!$A$1:$K$223</definedName>
  </definedNames>
  <calcPr calcId="152511"/>
</workbook>
</file>

<file path=xl/calcChain.xml><?xml version="1.0" encoding="utf-8"?>
<calcChain xmlns="http://schemas.openxmlformats.org/spreadsheetml/2006/main">
  <c r="B49" i="6" l="1"/>
  <c r="K38" i="6"/>
  <c r="B2" i="6"/>
  <c r="B42" i="6" s="1"/>
  <c r="B3" i="6"/>
  <c r="B43" i="6" s="1"/>
  <c r="L22" i="6" s="1"/>
  <c r="B4" i="6"/>
  <c r="B44" i="6" s="1"/>
  <c r="C12" i="6"/>
  <c r="C54" i="6"/>
  <c r="D12" i="6"/>
  <c r="D54" i="6"/>
  <c r="D14" i="6"/>
  <c r="E12" i="6"/>
  <c r="E54" i="6"/>
  <c r="E14" i="6"/>
  <c r="F12" i="6"/>
  <c r="G12" i="6"/>
  <c r="I12" i="6"/>
  <c r="I54" i="6"/>
  <c r="J12" i="6"/>
  <c r="K12" i="6"/>
  <c r="L12" i="6"/>
  <c r="M12" i="6"/>
  <c r="M54" i="6"/>
  <c r="O12" i="6"/>
  <c r="P12" i="6"/>
  <c r="P54" i="6"/>
  <c r="Q12" i="6"/>
  <c r="Q54" i="6"/>
  <c r="R12" i="6"/>
  <c r="R54" i="6"/>
  <c r="S12" i="6"/>
  <c r="U12" i="6"/>
  <c r="V12" i="6"/>
  <c r="W12" i="6"/>
  <c r="W54" i="6"/>
  <c r="X12" i="6"/>
  <c r="X54" i="6"/>
  <c r="Y12" i="6"/>
  <c r="Z12" i="6"/>
  <c r="AB12" i="6"/>
  <c r="AB54" i="6"/>
  <c r="AC12" i="6"/>
  <c r="AD12" i="6"/>
  <c r="AE12" i="6"/>
  <c r="AF12" i="6"/>
  <c r="AF54" i="6"/>
  <c r="AH12" i="6"/>
  <c r="AI12" i="6"/>
  <c r="AI54" i="6"/>
  <c r="AJ12" i="6"/>
  <c r="AJ54" i="6"/>
  <c r="AK12" i="6"/>
  <c r="AK54" i="6"/>
  <c r="AL12" i="6"/>
  <c r="AL54" i="6"/>
  <c r="AL14" i="6"/>
  <c r="AM12" i="6"/>
  <c r="AO12" i="6"/>
  <c r="AQ12" i="6"/>
  <c r="AQ54" i="6"/>
  <c r="AR12" i="6"/>
  <c r="AR54" i="6"/>
  <c r="AS12" i="6"/>
  <c r="AT12" i="6"/>
  <c r="AU12" i="6"/>
  <c r="AU54" i="6"/>
  <c r="AV12" i="6"/>
  <c r="AW12" i="6"/>
  <c r="AX12" i="6"/>
  <c r="AY12" i="6"/>
  <c r="AY54" i="6"/>
  <c r="AZ12" i="6"/>
  <c r="BA12" i="6"/>
  <c r="BA54" i="6"/>
  <c r="BB12" i="6"/>
  <c r="BB54" i="6"/>
  <c r="BC12" i="6"/>
  <c r="BC54" i="6"/>
  <c r="BD12" i="6"/>
  <c r="C13" i="6"/>
  <c r="D13" i="6"/>
  <c r="E13" i="6"/>
  <c r="F13" i="6"/>
  <c r="C30" i="6"/>
  <c r="C57" i="6"/>
  <c r="D30" i="6"/>
  <c r="E30" i="6"/>
  <c r="F30" i="6"/>
  <c r="F58" i="6"/>
  <c r="C34" i="6"/>
  <c r="C40" i="6"/>
  <c r="D40" i="6"/>
  <c r="E40" i="6"/>
  <c r="F40" i="6"/>
  <c r="B45" i="6"/>
  <c r="T22" i="6"/>
  <c r="T24" i="6"/>
  <c r="B46" i="6"/>
  <c r="AF28" i="6"/>
  <c r="B50" i="6"/>
  <c r="B51" i="6"/>
  <c r="O38" i="6"/>
  <c r="F54" i="6"/>
  <c r="F14" i="6"/>
  <c r="G54" i="6"/>
  <c r="J54" i="6"/>
  <c r="K54" i="6"/>
  <c r="L54" i="6"/>
  <c r="O54" i="6"/>
  <c r="S54" i="6"/>
  <c r="U54" i="6"/>
  <c r="V54" i="6"/>
  <c r="Y54" i="6"/>
  <c r="Z54" i="6"/>
  <c r="AC54" i="6"/>
  <c r="AD54" i="6"/>
  <c r="AE54" i="6"/>
  <c r="AH54" i="6"/>
  <c r="AM54" i="6"/>
  <c r="AO54" i="6"/>
  <c r="AS54" i="6"/>
  <c r="AT54" i="6"/>
  <c r="AV54" i="6"/>
  <c r="AW54" i="6"/>
  <c r="AX54" i="6"/>
  <c r="AZ54" i="6"/>
  <c r="BD54" i="6"/>
  <c r="C55" i="6"/>
  <c r="D55" i="6"/>
  <c r="E55" i="6"/>
  <c r="F55" i="6"/>
  <c r="D57" i="6"/>
  <c r="E57" i="6"/>
  <c r="F57" i="6"/>
  <c r="F59" i="6"/>
  <c r="D58" i="6"/>
  <c r="E58" i="6"/>
  <c r="D59" i="6"/>
  <c r="E59" i="6"/>
  <c r="K6" i="1"/>
  <c r="Z28" i="6"/>
  <c r="W22" i="6"/>
  <c r="AC28" i="6"/>
  <c r="W24" i="6"/>
  <c r="V22" i="6"/>
  <c r="V24" i="6"/>
  <c r="U22" i="6"/>
  <c r="U24" i="6"/>
  <c r="AS38" i="6"/>
  <c r="AS40" i="6"/>
  <c r="AG28" i="6"/>
  <c r="AE28" i="6"/>
  <c r="AE30" i="6"/>
  <c r="AE58" i="6"/>
  <c r="AB28" i="6"/>
  <c r="AB30" i="6"/>
  <c r="AL13" i="6"/>
  <c r="AL55" i="6"/>
  <c r="AR38" i="6"/>
  <c r="AR40" i="6"/>
  <c r="AH13" i="6"/>
  <c r="AH55" i="6"/>
  <c r="AH14" i="6"/>
  <c r="AA28" i="6"/>
  <c r="AE13" i="6"/>
  <c r="AE55" i="6"/>
  <c r="AC30" i="6"/>
  <c r="AP38" i="6"/>
  <c r="AP40" i="6"/>
  <c r="M38" i="6"/>
  <c r="AA30" i="6"/>
  <c r="AA58" i="6"/>
  <c r="K40" i="6"/>
  <c r="AT13" i="6"/>
  <c r="AT55" i="6"/>
  <c r="AT14" i="6"/>
  <c r="K35" i="6"/>
  <c r="J38" i="6"/>
  <c r="AS13" i="6"/>
  <c r="AS55" i="6"/>
  <c r="AS14" i="6"/>
  <c r="I38" i="6"/>
  <c r="H38" i="6"/>
  <c r="AQ13" i="6"/>
  <c r="AQ55" i="6"/>
  <c r="AQ14" i="6"/>
  <c r="I40" i="6"/>
  <c r="AR13" i="6"/>
  <c r="AR55" i="6"/>
  <c r="AR14" i="6"/>
  <c r="AB58" i="6"/>
  <c r="AB57" i="6"/>
  <c r="AB59" i="6"/>
  <c r="O40" i="6"/>
  <c r="AX13" i="6"/>
  <c r="AX55" i="6"/>
  <c r="AX14" i="6"/>
  <c r="H40" i="6"/>
  <c r="AC57" i="6"/>
  <c r="AC58" i="6"/>
  <c r="AM38" i="6"/>
  <c r="AM40" i="6"/>
  <c r="Z30" i="6"/>
  <c r="AD13" i="6"/>
  <c r="AD55" i="6"/>
  <c r="AD14" i="6"/>
  <c r="J40" i="6"/>
  <c r="AE57" i="6"/>
  <c r="AE59" i="6"/>
  <c r="AJ13" i="6"/>
  <c r="AJ55" i="6"/>
  <c r="AE14" i="6"/>
  <c r="M40" i="6"/>
  <c r="AV13" i="6"/>
  <c r="AV55" i="6"/>
  <c r="AV14" i="6"/>
  <c r="AA57" i="6"/>
  <c r="AA59" i="6"/>
  <c r="AO38" i="6"/>
  <c r="AO40" i="6"/>
  <c r="AF13" i="6"/>
  <c r="AF55" i="6"/>
  <c r="B52" i="6"/>
  <c r="C14" i="6"/>
  <c r="B14" i="6"/>
  <c r="AN38" i="6"/>
  <c r="AN40" i="6"/>
  <c r="L38" i="6"/>
  <c r="R38" i="6"/>
  <c r="Q38" i="6"/>
  <c r="N38" i="6"/>
  <c r="S38" i="6"/>
  <c r="P38" i="6"/>
  <c r="AJ14" i="6"/>
  <c r="AT38" i="6"/>
  <c r="AT40" i="6"/>
  <c r="AG30" i="6"/>
  <c r="AF30" i="6"/>
  <c r="AK13" i="6"/>
  <c r="AK55" i="6"/>
  <c r="AK14" i="6"/>
  <c r="AF14" i="6"/>
  <c r="Q22" i="6"/>
  <c r="R22" i="6"/>
  <c r="S22" i="6"/>
  <c r="C58" i="6"/>
  <c r="C59" i="6"/>
  <c r="Y28" i="6"/>
  <c r="S24" i="6"/>
  <c r="T38" i="6"/>
  <c r="U38" i="6"/>
  <c r="S40" i="6"/>
  <c r="BB13" i="6"/>
  <c r="BB55" i="6"/>
  <c r="BB14" i="6"/>
  <c r="L40" i="6"/>
  <c r="AU13" i="6"/>
  <c r="AU55" i="6"/>
  <c r="AU14" i="6"/>
  <c r="AF57" i="6"/>
  <c r="AF59" i="6"/>
  <c r="AF58" i="6"/>
  <c r="N40" i="6"/>
  <c r="AW13" i="6"/>
  <c r="AW55" i="6"/>
  <c r="AW14" i="6"/>
  <c r="X28" i="6"/>
  <c r="R24" i="6"/>
  <c r="AC59" i="6"/>
  <c r="Q40" i="6"/>
  <c r="AZ13" i="6"/>
  <c r="AZ55" i="6"/>
  <c r="AZ14" i="6"/>
  <c r="Q24" i="6"/>
  <c r="V28" i="6"/>
  <c r="AG58" i="6"/>
  <c r="AG57" i="6"/>
  <c r="AY13" i="6"/>
  <c r="AY55" i="6"/>
  <c r="AY14" i="6"/>
  <c r="P40" i="6"/>
  <c r="R40" i="6"/>
  <c r="BA13" i="6"/>
  <c r="BA55" i="6"/>
  <c r="BA14" i="6"/>
  <c r="Z57" i="6"/>
  <c r="Z59" i="6"/>
  <c r="Z58" i="6"/>
  <c r="Y13" i="6"/>
  <c r="Y55" i="6"/>
  <c r="Y14" i="6"/>
  <c r="AJ38" i="6"/>
  <c r="AJ40" i="6"/>
  <c r="V30" i="6"/>
  <c r="BC13" i="6"/>
  <c r="BC55" i="6"/>
  <c r="BC14" i="6"/>
  <c r="T40" i="6"/>
  <c r="AG59" i="6"/>
  <c r="AK38" i="6"/>
  <c r="AK40" i="6"/>
  <c r="AB13" i="6"/>
  <c r="AB55" i="6"/>
  <c r="AB14" i="6"/>
  <c r="X30" i="6"/>
  <c r="AC13" i="6"/>
  <c r="AC55" i="6"/>
  <c r="AC14" i="6"/>
  <c r="Y30" i="6"/>
  <c r="AL38" i="6"/>
  <c r="AL40" i="6"/>
  <c r="U40" i="6"/>
  <c r="BD13" i="6"/>
  <c r="BD55" i="6"/>
  <c r="BD14" i="6"/>
  <c r="X58" i="6"/>
  <c r="X57" i="6"/>
  <c r="X59" i="6"/>
  <c r="Y58" i="6"/>
  <c r="Y57" i="6"/>
  <c r="Y59" i="6"/>
  <c r="V58" i="6"/>
  <c r="V57" i="6"/>
  <c r="V59" i="6"/>
  <c r="E10" i="1"/>
  <c r="G28" i="6" l="1"/>
  <c r="M28" i="6"/>
  <c r="N28" i="6"/>
  <c r="K22" i="6"/>
  <c r="I22" i="6"/>
  <c r="I24" i="6" s="1"/>
  <c r="J22" i="6"/>
  <c r="O22" i="6"/>
  <c r="M22" i="6"/>
  <c r="R28" i="6" s="1"/>
  <c r="R30" i="6" s="1"/>
  <c r="N22" i="6"/>
  <c r="L24" i="6"/>
  <c r="Q28" i="6"/>
  <c r="P22" i="6"/>
  <c r="H22" i="6"/>
  <c r="H24" i="6" s="1"/>
  <c r="G22" i="6"/>
  <c r="G24" i="6" s="1"/>
  <c r="C22" i="6"/>
  <c r="F22" i="6"/>
  <c r="D22" i="6"/>
  <c r="E22" i="6"/>
  <c r="M30" i="6" l="1"/>
  <c r="O13" i="6"/>
  <c r="O55" i="6" s="1"/>
  <c r="O14" i="6" s="1"/>
  <c r="AA38" i="6"/>
  <c r="AA40" i="6" s="1"/>
  <c r="N30" i="6"/>
  <c r="P13" i="6"/>
  <c r="P55" i="6" s="1"/>
  <c r="P14" i="6" s="1"/>
  <c r="AB38" i="6"/>
  <c r="AB40" i="6" s="1"/>
  <c r="V38" i="6"/>
  <c r="V40" i="6" s="1"/>
  <c r="G30" i="6"/>
  <c r="G13" i="6"/>
  <c r="G55" i="6" s="1"/>
  <c r="G14" i="6" s="1"/>
  <c r="M24" i="6"/>
  <c r="U13" i="6"/>
  <c r="U55" i="6" s="1"/>
  <c r="U14" i="6" s="1"/>
  <c r="AF38" i="6"/>
  <c r="AF40" i="6" s="1"/>
  <c r="O28" i="6"/>
  <c r="J24" i="6"/>
  <c r="T28" i="6"/>
  <c r="O24" i="6"/>
  <c r="S28" i="6"/>
  <c r="N24" i="6"/>
  <c r="P28" i="6"/>
  <c r="K24" i="6"/>
  <c r="R58" i="6"/>
  <c r="R57" i="6"/>
  <c r="U28" i="6"/>
  <c r="P24" i="6"/>
  <c r="Q30" i="6"/>
  <c r="AE38" i="6"/>
  <c r="AE40" i="6" s="1"/>
  <c r="S13" i="6"/>
  <c r="S55" i="6" s="1"/>
  <c r="S14" i="6" s="1"/>
  <c r="I28" i="6"/>
  <c r="D24" i="6"/>
  <c r="C24" i="6"/>
  <c r="H28" i="6"/>
  <c r="J28" i="6"/>
  <c r="E24" i="6"/>
  <c r="K28" i="6"/>
  <c r="F24" i="6"/>
  <c r="G57" i="6" l="1"/>
  <c r="G58" i="6"/>
  <c r="N57" i="6"/>
  <c r="N58" i="6"/>
  <c r="M58" i="6"/>
  <c r="M57" i="6"/>
  <c r="M59" i="6" s="1"/>
  <c r="R59" i="6"/>
  <c r="P30" i="6"/>
  <c r="AD38" i="6"/>
  <c r="AD40" i="6" s="1"/>
  <c r="R13" i="6"/>
  <c r="R55" i="6" s="1"/>
  <c r="R14" i="6" s="1"/>
  <c r="W13" i="6"/>
  <c r="W55" i="6" s="1"/>
  <c r="W14" i="6" s="1"/>
  <c r="T30" i="6"/>
  <c r="AH38" i="6"/>
  <c r="AH40" i="6" s="1"/>
  <c r="AG38" i="6"/>
  <c r="AG40" i="6" s="1"/>
  <c r="V13" i="6"/>
  <c r="V55" i="6" s="1"/>
  <c r="V14" i="6" s="1"/>
  <c r="S30" i="6"/>
  <c r="O30" i="6"/>
  <c r="Q13" i="6"/>
  <c r="Q55" i="6" s="1"/>
  <c r="Q14" i="6" s="1"/>
  <c r="AC38" i="6"/>
  <c r="AC40" i="6" s="1"/>
  <c r="X13" i="6"/>
  <c r="X55" i="6" s="1"/>
  <c r="X14" i="6" s="1"/>
  <c r="AI38" i="6"/>
  <c r="AI40" i="6" s="1"/>
  <c r="U30" i="6"/>
  <c r="Q58" i="6"/>
  <c r="Q57" i="6"/>
  <c r="Q59" i="6" s="1"/>
  <c r="J30" i="6"/>
  <c r="K13" i="6"/>
  <c r="K55" i="6" s="1"/>
  <c r="K14" i="6" s="1"/>
  <c r="Y38" i="6"/>
  <c r="Y40" i="6" s="1"/>
  <c r="H30" i="6"/>
  <c r="I13" i="6"/>
  <c r="I55" i="6" s="1"/>
  <c r="I14" i="6" s="1"/>
  <c r="W38" i="6"/>
  <c r="W40" i="6" s="1"/>
  <c r="K30" i="6"/>
  <c r="L13" i="6"/>
  <c r="L55" i="6" s="1"/>
  <c r="L14" i="6" s="1"/>
  <c r="Z38" i="6"/>
  <c r="Z40" i="6" s="1"/>
  <c r="X25" i="6"/>
  <c r="AD28" i="6" s="1"/>
  <c r="I30" i="6"/>
  <c r="X38" i="6"/>
  <c r="X40" i="6" s="1"/>
  <c r="J13" i="6"/>
  <c r="J55" i="6" s="1"/>
  <c r="J14" i="6" s="1"/>
  <c r="N59" i="6" l="1"/>
  <c r="G59" i="6"/>
  <c r="O58" i="6"/>
  <c r="O57" i="6"/>
  <c r="S58" i="6"/>
  <c r="S57" i="6"/>
  <c r="T58" i="6"/>
  <c r="T57" i="6"/>
  <c r="P58" i="6"/>
  <c r="P57" i="6"/>
  <c r="U57" i="6"/>
  <c r="U58" i="6"/>
  <c r="I58" i="6"/>
  <c r="I57" i="6"/>
  <c r="I59" i="6" s="1"/>
  <c r="H58" i="6"/>
  <c r="H57" i="6"/>
  <c r="AQ38" i="6"/>
  <c r="AQ40" i="6" s="1"/>
  <c r="C63" i="6" s="1"/>
  <c r="AD30" i="6"/>
  <c r="AI13" i="6"/>
  <c r="AI55" i="6" s="1"/>
  <c r="AI14" i="6" s="1"/>
  <c r="K58" i="6"/>
  <c r="K57" i="6"/>
  <c r="J57" i="6"/>
  <c r="J58" i="6"/>
  <c r="T59" i="6" l="1"/>
  <c r="O59" i="6"/>
  <c r="J59" i="6"/>
  <c r="K59" i="6"/>
  <c r="P59" i="6"/>
  <c r="S59" i="6"/>
  <c r="U59" i="6"/>
  <c r="C64" i="6"/>
  <c r="AT41" i="6" s="1"/>
  <c r="AD57" i="6"/>
  <c r="AD58" i="6"/>
  <c r="H59" i="6"/>
  <c r="L59" i="6" s="1"/>
  <c r="L60" i="6" s="1"/>
  <c r="L61" i="6" s="1"/>
  <c r="L31" i="6" s="1"/>
  <c r="M13" i="6" s="1"/>
  <c r="M55" i="6" s="1"/>
  <c r="M14" i="6" s="1"/>
  <c r="W59" i="6" l="1"/>
  <c r="W60" i="6" s="1"/>
  <c r="W61" i="6" s="1"/>
  <c r="W31" i="6" s="1"/>
  <c r="Z13" i="6" s="1"/>
  <c r="Z55" i="6" s="1"/>
  <c r="Z14" i="6" s="1"/>
  <c r="AD59" i="6"/>
  <c r="AH59" i="6" s="1"/>
  <c r="AH60" i="6" s="1"/>
  <c r="AH61" i="6" s="1"/>
  <c r="AH31" i="6" s="1"/>
  <c r="AM13" i="6" s="1"/>
  <c r="AM55" i="6" s="1"/>
  <c r="AM14" i="6" s="1"/>
  <c r="AO13" i="6"/>
  <c r="AO55" i="6" s="1"/>
  <c r="AO14" i="6" s="1"/>
  <c r="G38" i="6"/>
</calcChain>
</file>

<file path=xl/comments1.xml><?xml version="1.0" encoding="utf-8"?>
<comments xmlns="http://schemas.openxmlformats.org/spreadsheetml/2006/main">
  <authors>
    <author>Cooperativa central de crédito do ES</author>
  </authors>
  <commentList>
    <comment ref="X25" authorId="0" shapeId="0">
      <text>
        <r>
          <rPr>
            <b/>
            <sz val="8"/>
            <color indexed="81"/>
            <rFont val="Tahoma"/>
            <family val="2"/>
          </rPr>
          <t xml:space="preserve">CÁLCULO DO DÍGITO VERIFICADOR DO NOSSO NÚMERO:
</t>
        </r>
        <r>
          <rPr>
            <b/>
            <sz val="8"/>
            <color indexed="81"/>
            <rFont val="Tahoma"/>
            <family val="2"/>
          </rPr>
          <t>Número da Cooperativa    9(4) – A ser informado pela Cooperativa 
Código do Cliente   9(10) – A ser informado pela Cooperativa
Nosso Número   9(7) – Iniciado em 1
Constante para cálculo  = 3197</t>
        </r>
        <r>
          <rPr>
            <b/>
            <sz val="8"/>
            <color indexed="81"/>
            <rFont val="Tahoma"/>
            <family val="2"/>
          </rPr>
          <t xml:space="preserve">
1) Concatenar na seqüência completando com zero à esquerda. 
</t>
        </r>
        <r>
          <rPr>
            <sz val="8"/>
            <color indexed="81"/>
            <rFont val="Tahoma"/>
            <family val="2"/>
          </rPr>
          <t>Ex.:
Número da Cooperativa  = 0001   /   Número do Cliente  = 1-9  /   Nosso Número  = 21
000100000000190000021</t>
        </r>
        <r>
          <rPr>
            <b/>
            <sz val="8"/>
            <color indexed="81"/>
            <rFont val="Tahoma"/>
            <family val="2"/>
          </rPr>
          <t xml:space="preserve">
2) Alinhar a constante com a seqüência repetindo de trás para frente.
</t>
        </r>
        <r>
          <rPr>
            <sz val="8"/>
            <color indexed="81"/>
            <rFont val="Tahoma"/>
            <family val="2"/>
          </rPr>
          <t>Ex.:
000100000000190000021
319731973197319731973</t>
        </r>
        <r>
          <rPr>
            <b/>
            <sz val="8"/>
            <color indexed="81"/>
            <rFont val="Tahoma"/>
            <family val="2"/>
          </rPr>
          <t xml:space="preserve">
3) Multiplicar cada componente da seqüência com o seu correspondente da constante e somar os resultados.
</t>
        </r>
        <r>
          <rPr>
            <sz val="8"/>
            <color indexed="81"/>
            <rFont val="Tahoma"/>
            <family val="2"/>
          </rPr>
          <t>Ex.:
1*7 + 1*3 + 9*1 + 2*7 + 1*3 = 36</t>
        </r>
        <r>
          <rPr>
            <b/>
            <sz val="8"/>
            <color indexed="81"/>
            <rFont val="Tahoma"/>
            <family val="2"/>
          </rPr>
          <t xml:space="preserve">
4) Calcular o Resto através do Módulo 11.
</t>
        </r>
        <r>
          <rPr>
            <sz val="8"/>
            <color indexed="81"/>
            <rFont val="Tahoma"/>
            <family val="2"/>
          </rPr>
          <t>Ex.:
36/11 = 3
Resto = 3</t>
        </r>
        <r>
          <rPr>
            <b/>
            <sz val="8"/>
            <color indexed="81"/>
            <rFont val="Tahoma"/>
            <family val="2"/>
          </rPr>
          <t xml:space="preserve">
5) O resto da divisão deverá ser subtraído de 11 achando assim o DV (Se o Resto for igual a 0 ou 1 então o DV é igual a 0).
</t>
        </r>
        <r>
          <rPr>
            <sz val="8"/>
            <color indexed="81"/>
            <rFont val="Tahoma"/>
            <family val="2"/>
          </rPr>
          <t>Ex.:
11 – 3 = 8
Nosso Número + DV = 21-8</t>
        </r>
      </text>
    </comment>
  </commentList>
</comments>
</file>

<file path=xl/sharedStrings.xml><?xml version="1.0" encoding="utf-8"?>
<sst xmlns="http://schemas.openxmlformats.org/spreadsheetml/2006/main" count="6190" uniqueCount="2779">
  <si>
    <t>Código p/ Baixa/Devolução</t>
  </si>
  <si>
    <t>Prazo p/ Baixa/Devolução</t>
  </si>
  <si>
    <t>Código da Moeda</t>
  </si>
  <si>
    <t>Número do Contrato</t>
  </si>
  <si>
    <t>Código do Banco na Compensação: "756"</t>
  </si>
  <si>
    <t>Dados da Cooperativa</t>
  </si>
  <si>
    <t>756-0</t>
  </si>
  <si>
    <t>3010-4</t>
  </si>
  <si>
    <t>Cooperativa-DV:</t>
  </si>
  <si>
    <t>Nome:</t>
  </si>
  <si>
    <t>Banco-DV:</t>
  </si>
  <si>
    <t>3001-5</t>
  </si>
  <si>
    <t>3003-1</t>
  </si>
  <si>
    <t>3006-6</t>
  </si>
  <si>
    <t>3007-4</t>
  </si>
  <si>
    <t>3008-2</t>
  </si>
  <si>
    <t>3009-0</t>
  </si>
  <si>
    <t>3260-3</t>
  </si>
  <si>
    <t>3345-6</t>
  </si>
  <si>
    <t>Nome</t>
  </si>
  <si>
    <t>Cooperativas</t>
  </si>
  <si>
    <t>PARÂMETROS</t>
  </si>
  <si>
    <t>Texto</t>
  </si>
  <si>
    <t>Cliente-DV:</t>
  </si>
  <si>
    <t>Nome/Razão Social:</t>
  </si>
  <si>
    <t>CPF/CNPJ:</t>
  </si>
  <si>
    <t>Conta-DV:</t>
  </si>
  <si>
    <t>Carteira/Modalidade:</t>
  </si>
  <si>
    <t>Emissão:</t>
  </si>
  <si>
    <t>Pessoa de Contato:</t>
  </si>
  <si>
    <t>E-mail:</t>
  </si>
  <si>
    <t>DV Nosso Número</t>
  </si>
  <si>
    <t>Nosso Número</t>
  </si>
  <si>
    <t>Nº Cliente</t>
  </si>
  <si>
    <t>Cliente</t>
  </si>
  <si>
    <t>Coop.</t>
  </si>
  <si>
    <t>Cooperativa</t>
  </si>
  <si>
    <t>Fator de Vencimento</t>
  </si>
  <si>
    <t>Banco</t>
  </si>
  <si>
    <t>Moeda</t>
  </si>
  <si>
    <t>Fator Venc.</t>
  </si>
  <si>
    <t>Valor</t>
  </si>
  <si>
    <t>Carteira</t>
  </si>
  <si>
    <t>Modalidade</t>
  </si>
  <si>
    <t>Parcela</t>
  </si>
  <si>
    <t>Carteira/Modalidade</t>
  </si>
  <si>
    <t>DV do 1º Grupo</t>
  </si>
  <si>
    <t>DV do 2º Grupo</t>
  </si>
  <si>
    <t>DV do 3º Grupo</t>
  </si>
  <si>
    <t>Preencha os campos com os dados do título</t>
  </si>
  <si>
    <t>Nosso Número sem Dígito Verificador</t>
  </si>
  <si>
    <t>Linha Digitável Completa</t>
  </si>
  <si>
    <t>Conferência</t>
  </si>
  <si>
    <t>Linha Digitável informada</t>
  </si>
  <si>
    <t>Linha Digitável calculada para os dados informados</t>
  </si>
  <si>
    <t>.</t>
  </si>
  <si>
    <t>Resultado da Pré-homologação</t>
  </si>
  <si>
    <t>DV 1º Grupo</t>
  </si>
  <si>
    <t>DV 2º Grupo</t>
  </si>
  <si>
    <t>DV 3º Grupo</t>
  </si>
  <si>
    <t>DV Cód. Barras</t>
  </si>
  <si>
    <t>Nosso Número sem DV</t>
  </si>
  <si>
    <t>Constante p/ Cálc. Fator Vencimento</t>
  </si>
  <si>
    <t>Valor (parte inteira)</t>
  </si>
  <si>
    <t>Valor (centavos)</t>
  </si>
  <si>
    <t>Linha Digitável Informada</t>
  </si>
  <si>
    <t>Linha Digitável Calculada</t>
  </si>
  <si>
    <t>DV's da Linha Digitável</t>
  </si>
  <si>
    <t>DV do Código de Barras</t>
  </si>
  <si>
    <t>DV do Cód. Barras</t>
  </si>
  <si>
    <t>Memória de Cálculo</t>
  </si>
  <si>
    <t>Vencimento</t>
  </si>
  <si>
    <t>Constante</t>
  </si>
  <si>
    <t>Sicoob</t>
  </si>
  <si>
    <t>Informado pela Cooperativa / Agência</t>
  </si>
  <si>
    <t>Campo 1</t>
  </si>
  <si>
    <t>Campo 2</t>
  </si>
  <si>
    <t>Campo 3</t>
  </si>
  <si>
    <t>Campo 4</t>
  </si>
  <si>
    <t>Campo 5</t>
  </si>
  <si>
    <t>AAABC.DDDDE</t>
  </si>
  <si>
    <t>FFGGG.GGGGHI</t>
  </si>
  <si>
    <t>HHHHH.HHJJJK</t>
  </si>
  <si>
    <t>L</t>
  </si>
  <si>
    <t>MMMMNNNNNNNNNN</t>
  </si>
  <si>
    <t>A=</t>
  </si>
  <si>
    <t>B=</t>
  </si>
  <si>
    <t>C=</t>
  </si>
  <si>
    <t>D=</t>
  </si>
  <si>
    <t>E=</t>
  </si>
  <si>
    <t>F=</t>
  </si>
  <si>
    <t>G=</t>
  </si>
  <si>
    <t>H=</t>
  </si>
  <si>
    <t>I=</t>
  </si>
  <si>
    <t>J=</t>
  </si>
  <si>
    <t>K=</t>
  </si>
  <si>
    <t>L=</t>
  </si>
  <si>
    <t>M=</t>
  </si>
  <si>
    <t>N=</t>
  </si>
  <si>
    <t>Código do Sicoob na câmara de compensação - "756"</t>
  </si>
  <si>
    <t>Código da moeda - "9"</t>
  </si>
  <si>
    <t>Código da agência/cooperativa - verificar na planilha "Capa" deste arquivo</t>
  </si>
  <si>
    <t>Código da carteira - verificar na planilha "Capa" deste arquivo</t>
  </si>
  <si>
    <t>Dígito verificador do Campo 1 - vide demonstrativo de cálculo a seguir</t>
  </si>
  <si>
    <t>Código da modalidade - verificar na planilha "Capa" deste arquivo</t>
  </si>
  <si>
    <t>Dígito verificador do Campo 2 - vide demonstrativo de cálculo a seguir</t>
  </si>
  <si>
    <t>Dígito verificador do Campo 3 - vide demonstrativo de cálculo a seguir</t>
  </si>
  <si>
    <t>Dígito verificador do Código de Barras - vide demonstrativo de cálculo a seguir</t>
  </si>
  <si>
    <t>Fator de vencimento - vide demonstrativo de cálculo a seguir</t>
  </si>
  <si>
    <t>Número da parcela a que o boleto se refere - "001" se parcela única</t>
  </si>
  <si>
    <t>Nosso número do boleto</t>
  </si>
  <si>
    <t>HEADER</t>
  </si>
  <si>
    <t>SEQ</t>
  </si>
  <si>
    <t>INICIO</t>
  </si>
  <si>
    <t>FINAL</t>
  </si>
  <si>
    <t>TAM</t>
  </si>
  <si>
    <t>9(001)</t>
  </si>
  <si>
    <t>A(007)</t>
  </si>
  <si>
    <t>9(002)</t>
  </si>
  <si>
    <t>A(008)</t>
  </si>
  <si>
    <t>9(004)</t>
  </si>
  <si>
    <t>A(001)</t>
  </si>
  <si>
    <t>9(008)</t>
  </si>
  <si>
    <t>9(006)</t>
  </si>
  <si>
    <t>A(030)</t>
  </si>
  <si>
    <t>A(018)</t>
  </si>
  <si>
    <t>9(007)</t>
  </si>
  <si>
    <t>A(287)</t>
  </si>
  <si>
    <t>LAYOUT DO ARQUIVO DE REMESSA - CNAB400</t>
  </si>
  <si>
    <t>DETALHE</t>
  </si>
  <si>
    <t>9(01)</t>
  </si>
  <si>
    <t>9(02)</t>
  </si>
  <si>
    <t>9(14)</t>
  </si>
  <si>
    <t>9(04)</t>
  </si>
  <si>
    <t>9(08)</t>
  </si>
  <si>
    <t>X(01)</t>
  </si>
  <si>
    <t>9(06)</t>
  </si>
  <si>
    <t>X(25)</t>
  </si>
  <si>
    <t>9(11)</t>
  </si>
  <si>
    <t>Número da Parcela</t>
  </si>
  <si>
    <t>X(03)</t>
  </si>
  <si>
    <t>9(03)</t>
  </si>
  <si>
    <t>9(05)</t>
  </si>
  <si>
    <t>DV</t>
  </si>
  <si>
    <t>X(10)</t>
  </si>
  <si>
    <t>A(06)</t>
  </si>
  <si>
    <t>9(13)</t>
  </si>
  <si>
    <t>9(02)V9999</t>
  </si>
  <si>
    <t xml:space="preserve">Valor Abatimento </t>
  </si>
  <si>
    <t>9(11)V99</t>
  </si>
  <si>
    <t>A(40)</t>
  </si>
  <si>
    <t>A(37)</t>
  </si>
  <si>
    <t>X(15)</t>
  </si>
  <si>
    <t>A(15)</t>
  </si>
  <si>
    <t>A(02)</t>
  </si>
  <si>
    <t>X(40)</t>
  </si>
  <si>
    <t>X(02)</t>
  </si>
  <si>
    <t>TRAILLER</t>
  </si>
  <si>
    <t>X(193)</t>
  </si>
  <si>
    <t>LAYOUT DO ARQUIVO DE RETORNO - CNAB400</t>
  </si>
  <si>
    <t>Taxa de desconto</t>
  </si>
  <si>
    <t>9(03)V99</t>
  </si>
  <si>
    <t>Taxa de IOF</t>
  </si>
  <si>
    <t>9(01)V9999</t>
  </si>
  <si>
    <t>X(20)</t>
  </si>
  <si>
    <t xml:space="preserve">Valor da Tarifa </t>
  </si>
  <si>
    <t>9(05)V99</t>
  </si>
  <si>
    <t xml:space="preserve">Outras despesas </t>
  </si>
  <si>
    <t xml:space="preserve">Juros do desconto </t>
  </si>
  <si>
    <t>IOF do desconto</t>
  </si>
  <si>
    <t xml:space="preserve">Juros de Mora </t>
  </si>
  <si>
    <t xml:space="preserve">Outros recebimentos </t>
  </si>
  <si>
    <t xml:space="preserve">Valor do Lançamento </t>
  </si>
  <si>
    <t xml:space="preserve">Indicativo débito/crédito </t>
  </si>
  <si>
    <t xml:space="preserve">Indicativo valor </t>
  </si>
  <si>
    <t xml:space="preserve">Valor do Ajuste </t>
  </si>
  <si>
    <t>9(10)V99</t>
  </si>
  <si>
    <t>X(38)</t>
  </si>
  <si>
    <t>MÁSCARA</t>
  </si>
  <si>
    <t>Identificação do Registro Header: “0” (zero)</t>
  </si>
  <si>
    <t>CAMPO / DESCRIÇÃO / CONTEÚDO</t>
  </si>
  <si>
    <t>Tipo de Operação: “1” (um)</t>
  </si>
  <si>
    <t>Identificação por Extenso do Tipo de Operação: "REMESSA"</t>
  </si>
  <si>
    <t>Identificação do Tipo de Serviço: “01” (um)</t>
  </si>
  <si>
    <t>Prefixo da Cooperativa: vide planilha "Capa" deste arquivo</t>
  </si>
  <si>
    <t>Dígito Verificador do Prefixo: vide planilha "Capa" deste arquivo</t>
  </si>
  <si>
    <t>Dígito Verificador do Código: vide planilha "Capa" deste arquivo</t>
  </si>
  <si>
    <t>Número do convênio líder: Brancos</t>
  </si>
  <si>
    <t>Complemento do Registro: Brancos</t>
  </si>
  <si>
    <t>Identificação do Banco: "756BANCOOBCED"</t>
  </si>
  <si>
    <t>Data da Gravação da Remessa: formato ddmmaa</t>
  </si>
  <si>
    <t>Seqüencial da Remessa: número seqüencial acrescido de 1 a cada remessa. Inicia com "0000001"</t>
  </si>
  <si>
    <t>Seqüencial do Registro:”000001”</t>
  </si>
  <si>
    <t>A = ALFANUMÉRICO          9 = NUMÉRICO          V = VÍRGULA DECIMAL ASSUMIDA</t>
  </si>
  <si>
    <t>Identificação do Registro Detalhe: 1 (um)</t>
  </si>
  <si>
    <t>Conta Corrente: vide planilha "Capa" deste arquivo</t>
  </si>
  <si>
    <t>Dígito Verificador da Conta: vide planilha "Capa" deste arquivo</t>
  </si>
  <si>
    <t>Número de Controle do Participante: Brancos</t>
  </si>
  <si>
    <t>9(12)</t>
  </si>
  <si>
    <t>Grupo de Valor: "00"</t>
  </si>
  <si>
    <t>Prefixo do Título: Brancos</t>
  </si>
  <si>
    <t>Variação da Carteira: "000"</t>
  </si>
  <si>
    <t>Conta Caução: "0"</t>
  </si>
  <si>
    <t>Código de responsabilidade: "00000"</t>
  </si>
  <si>
    <t>DV do código de responsabilidade: "0"</t>
  </si>
  <si>
    <t xml:space="preserve">Carteira/Modalidade:
01 = Simples Com Registro
02 = Simples Sem Registro
03 = Garantida Caucionada </t>
  </si>
  <si>
    <t>Seu Número/Número atribuído pela Empresa</t>
  </si>
  <si>
    <t xml:space="preserve">Valor do Titulo </t>
  </si>
  <si>
    <t>Número Banco: "756"</t>
  </si>
  <si>
    <t>Espécie do Título :
01 = Duplicata Mercantil
02 = Nota Promissória
03 = Nota de Seguro
05 = Recibo
06 = Duplicata Rural
08 = Letra de Câmbio
09 = Warrant
10 = Cheque
12 = Duplicata de Serviço
13 = Nota de Débito
14 = Triplicata Mercantil
15 = Triplicata de Serviço
18 = Fatura
20 = Apólice de Seguro
21 = Mensalidade Escolar
22 = Parcela de Consórcio
99 = Outros</t>
  </si>
  <si>
    <t>Aceite do Título:
"0" = Sem aceite
"1" = Com aceite</t>
  </si>
  <si>
    <t>Data de Emissão do Título: formato ddmmaa</t>
  </si>
  <si>
    <t>Segunda instrução: vide SEQ 33</t>
  </si>
  <si>
    <t>Data primeiro desconto:
Informar a data limite a ser observada pelo cliente para o pagamento do título com Desconto no formato ddmmaa.
Preencher com zeros quando não for concedido nenhum desconto.
Obs: A data limite não poderá ser superior a data de vencimento do título.</t>
  </si>
  <si>
    <t>Valor primeiro desconto:
Informar o valor do desconto, com duas casa decimais.
Preencher com zeros quando não for concedido nenhum desconto.</t>
  </si>
  <si>
    <t xml:space="preserve">Número de Dias Para Protesto:
Quantidade dias para envio protesto. Se = "0", utilizar dias protesto padrão do cliente cadastrado na cooperativa. </t>
  </si>
  <si>
    <t xml:space="preserve">Seqüencial do Registro: Incrementado em 1 a cada registro </t>
  </si>
  <si>
    <t>Identificação Registro Trailler: "9"</t>
  </si>
  <si>
    <t>Identificação do Registro Header: “0”</t>
  </si>
  <si>
    <t>Tipo de Operação: “2”</t>
  </si>
  <si>
    <t>Identificação Tipo de Operação “RETORNO”</t>
  </si>
  <si>
    <t>Identificação por Extenso do Tipo de Serviço:“COBRANÇA”</t>
  </si>
  <si>
    <t>Data da Gravação do Retorno: formato ddmmaa</t>
  </si>
  <si>
    <t>Seqüencial do Retorno: número seqüencial atribuído pelo Sicoob, acrescido de 1 a cada retorno. Inicia com "0000001"</t>
  </si>
  <si>
    <t>Data da Entrada/Liquidação: formato ddmmaa</t>
  </si>
  <si>
    <t>Data Vencimento Título: formato ddmmaa</t>
  </si>
  <si>
    <t>Valor Titulo</t>
  </si>
  <si>
    <t xml:space="preserve"> 9(11)V99</t>
  </si>
  <si>
    <t>DV prefixo recebedora</t>
  </si>
  <si>
    <t>Característica Cobrança</t>
  </si>
  <si>
    <t>Tipo de Registro: "3"</t>
  </si>
  <si>
    <t xml:space="preserve">Nº Sequencial do Registro no Lote: Número adotado e controlado pelo responsável pela geração magnética dos dados contidos no arquivo, para identificar a seqüência de registros encaminhados no lote. Deve ser inicializado sempre em '1', em cada novo lote.
</t>
  </si>
  <si>
    <t>Cód. Segmento do Registro Detalhe: "P"</t>
  </si>
  <si>
    <t>Número da Parcela: "01" se parcela única</t>
  </si>
  <si>
    <t>Código da Carteira: vide planilha "Capa" deste arquivo</t>
  </si>
  <si>
    <t>Forma de Cadastr. do Título no Banco: "0"</t>
  </si>
  <si>
    <t>Tipo de Documento: Brancos</t>
  </si>
  <si>
    <t xml:space="preserve">Número do Documento de Cobrança: Número adotado e controlado pelo Cliente, para identificar o título de cobrança. Informação utilizada pelo Sicoob para referenciar a identificação do documento objeto de cobrança. Poderá conter número de duplicata, no caso de cobrança de duplicatas; número da apólice, no caso de cobrança de seguros, etc
</t>
  </si>
  <si>
    <t>Agência Encarregada da Cobrança: "00000"</t>
  </si>
  <si>
    <t>Dígito Verificador da Agência: Brancos</t>
  </si>
  <si>
    <t>Espécie do Título:
'01'  =  CH Cheque
'02'  =  DM Duplicata Mercantil
'03'  =  DMI Duplicata Mercantil p/ Indicação
'04'  =  DS Duplicata de Serviço
'05'  =  DSI Duplicata de Serviço p/ Indicação
'06'  =  DR Duplicata Rural
'07'  =  LC Letra de Câmbio
'08'  =  NCC Nota de Crédito Comercial
'09'  =  NCE Nota de Crédito a Exportação
'10'  =  NCI Nota de Crédito Industrial
'11'  =  NCR Nota de Crédito Rural
'12'  =  NP Nota Promissória
'13'  =  NPR Nota Promissória Rural
'14'  =  TM Triplicata Mercantil
'15'  =  TS Triplicata de Serviço
'16'  =  NS Nota de Seguro
'17'  =  RC Recibo
'18'  =  FAT Fatura
'19'  =  ND Nota de Débito
'20'  =  AP Apólice de Seguro
'21'  =  ME Mensalidade Escolar
'22'  =  PC Parcela de Consórcio
'23'  =  NF Nota Fiscal
'24'  =  DD Documento de Dívida
‘25’ = Cédula de Produto Rural 
'99'  =  Outros</t>
  </si>
  <si>
    <t>Código para Protesto: "1"</t>
  </si>
  <si>
    <t>Número de Dias Corridos para Protesto</t>
  </si>
  <si>
    <t>Código para Baixa/Devolução: "0"</t>
  </si>
  <si>
    <t>Número de Dias para Baixa/Devolução: Brancos</t>
  </si>
  <si>
    <t>Código da Moeda:
'02'  =  Dólar Americano Comercial (Venda)
'09'  = Real</t>
  </si>
  <si>
    <t>Nº do Contrato da Operação de Créd.: "0000000000"</t>
  </si>
  <si>
    <t>Empresa</t>
  </si>
  <si>
    <t>REGISTRO DETALHE SEGMENTO P</t>
  </si>
  <si>
    <t xml:space="preserve">- </t>
  </si>
  <si>
    <t>Número de Inscrição</t>
  </si>
  <si>
    <t>Sac. / Aval.</t>
  </si>
  <si>
    <t>Nome do Sacador/Avalista</t>
  </si>
  <si>
    <t xml:space="preserve">Mensagem 2: Texto referente a mensagens que serão impressas em todos os boletos referentes ao mesmo lote. Estes campos não serão utilizados no arquivo retorno.
</t>
  </si>
  <si>
    <t xml:space="preserve">Mensagem 1: Texto referente a mensagens que serão impressas em todos os boletos referentes ao mesmo lote. Estes campos não serão utilizados no arquivo retorno.
</t>
  </si>
  <si>
    <t>Emissão Boleto</t>
  </si>
  <si>
    <t>Distrib. Boleto</t>
  </si>
  <si>
    <t>Observações/Mensagem ou Sacador/Avalista:
Quando o SEQ 14 – Indicativo de Mensagem ou Sacador/Avalista - for preenchido com Brancos, as informações constantes desse campo serão impressas no campo “texto de responsabilidade da Empresa”, no Recibo do Sacado e na Ficha de Compensação do boleto de cobrança.
Quando o SEQ 14 – Indicativo de Mensagem ou Sacador/Avalista - for preenchido com “A” , este campo deverá ser preenchido com o nome/razão social do Sacador/Avalista</t>
  </si>
  <si>
    <t>1001-4</t>
  </si>
  <si>
    <t>1002-2</t>
  </si>
  <si>
    <t>1003-0</t>
  </si>
  <si>
    <t>1004-9</t>
  </si>
  <si>
    <t>1005-7</t>
  </si>
  <si>
    <t>1006-5</t>
  </si>
  <si>
    <t>1007-3</t>
  </si>
  <si>
    <t>1008-1</t>
  </si>
  <si>
    <t>2001-0</t>
  </si>
  <si>
    <t>2002-8</t>
  </si>
  <si>
    <t>2003-6</t>
  </si>
  <si>
    <t>2004-4</t>
  </si>
  <si>
    <t>2005-2</t>
  </si>
  <si>
    <t>2006-0</t>
  </si>
  <si>
    <t>2007-9</t>
  </si>
  <si>
    <t>2008-7</t>
  </si>
  <si>
    <t>2009-5</t>
  </si>
  <si>
    <t>2010-9</t>
  </si>
  <si>
    <t>2011-7</t>
  </si>
  <si>
    <t>2012-5</t>
  </si>
  <si>
    <t>2013-3</t>
  </si>
  <si>
    <t>2014-1</t>
  </si>
  <si>
    <t>2015-0</t>
  </si>
  <si>
    <t>3002-3</t>
  </si>
  <si>
    <t>3004-0</t>
  </si>
  <si>
    <t>3005-8</t>
  </si>
  <si>
    <t>3011-2</t>
  </si>
  <si>
    <t>3012-0</t>
  </si>
  <si>
    <t>3013-9</t>
  </si>
  <si>
    <t>3016-3</t>
  </si>
  <si>
    <t>3017-1</t>
  </si>
  <si>
    <t>3018-0</t>
  </si>
  <si>
    <t>3019-8</t>
  </si>
  <si>
    <t>3020-1</t>
  </si>
  <si>
    <t>3021-0</t>
  </si>
  <si>
    <t>3022-8</t>
  </si>
  <si>
    <t>3023-6</t>
  </si>
  <si>
    <t>3024-4</t>
  </si>
  <si>
    <t>3025-2</t>
  </si>
  <si>
    <t>3026-0</t>
  </si>
  <si>
    <t>3027-9</t>
  </si>
  <si>
    <t>3031-7</t>
  </si>
  <si>
    <t>3032-5</t>
  </si>
  <si>
    <t>3033-3</t>
  </si>
  <si>
    <t>3034-1</t>
  </si>
  <si>
    <t>3035-0</t>
  </si>
  <si>
    <t>3036-8</t>
  </si>
  <si>
    <t>3037-6</t>
  </si>
  <si>
    <t>3038-4</t>
  </si>
  <si>
    <t>3039-2</t>
  </si>
  <si>
    <t>3040-6</t>
  </si>
  <si>
    <t>3041-4</t>
  </si>
  <si>
    <t>3042-2</t>
  </si>
  <si>
    <t>3043-0</t>
  </si>
  <si>
    <t>3044-9</t>
  </si>
  <si>
    <t>3045-7</t>
  </si>
  <si>
    <t>3046-5</t>
  </si>
  <si>
    <t>3047-3</t>
  </si>
  <si>
    <t>3049-0</t>
  </si>
  <si>
    <t>3050-3</t>
  </si>
  <si>
    <t>3051-1</t>
  </si>
  <si>
    <t>3052-0</t>
  </si>
  <si>
    <t>3053-8</t>
  </si>
  <si>
    <t>3054-6</t>
  </si>
  <si>
    <t>3055-4</t>
  </si>
  <si>
    <t>3056-2</t>
  </si>
  <si>
    <t>3057-0</t>
  </si>
  <si>
    <t>3058-9</t>
  </si>
  <si>
    <t>3059-7</t>
  </si>
  <si>
    <t>3060-0</t>
  </si>
  <si>
    <t>3061-9</t>
  </si>
  <si>
    <t>3062-7</t>
  </si>
  <si>
    <t>3063-5</t>
  </si>
  <si>
    <t>3064-3</t>
  </si>
  <si>
    <t>3066-0</t>
  </si>
  <si>
    <t>3067-8</t>
  </si>
  <si>
    <t>3068-6</t>
  </si>
  <si>
    <t>3069-4</t>
  </si>
  <si>
    <t>3070-8</t>
  </si>
  <si>
    <t>3071-6</t>
  </si>
  <si>
    <t>3072-4</t>
  </si>
  <si>
    <t>3073-2</t>
  </si>
  <si>
    <t>3074-0</t>
  </si>
  <si>
    <t>3075-9</t>
  </si>
  <si>
    <t>3076-7</t>
  </si>
  <si>
    <t>3077-5</t>
  </si>
  <si>
    <t>3078-3</t>
  </si>
  <si>
    <t>3080-5</t>
  </si>
  <si>
    <t>3081-3</t>
  </si>
  <si>
    <t>3082-1</t>
  </si>
  <si>
    <t>3083-0</t>
  </si>
  <si>
    <t>3084-8</t>
  </si>
  <si>
    <t>3085-6</t>
  </si>
  <si>
    <t>3087-2</t>
  </si>
  <si>
    <t>3088-0</t>
  </si>
  <si>
    <t>3089-9</t>
  </si>
  <si>
    <t>3090-2</t>
  </si>
  <si>
    <t>3091-0</t>
  </si>
  <si>
    <t>3092-9</t>
  </si>
  <si>
    <t>3093-7</t>
  </si>
  <si>
    <t>3094-5</t>
  </si>
  <si>
    <t>3095-3</t>
  </si>
  <si>
    <t>3096-1</t>
  </si>
  <si>
    <t>3097-0</t>
  </si>
  <si>
    <t>3098-8</t>
  </si>
  <si>
    <t>3099-6</t>
  </si>
  <si>
    <t>3100-3</t>
  </si>
  <si>
    <t>3101-1</t>
  </si>
  <si>
    <t>3102-0</t>
  </si>
  <si>
    <t>3103-8</t>
  </si>
  <si>
    <t>3104-6</t>
  </si>
  <si>
    <t>3105-4</t>
  </si>
  <si>
    <t>3106-2</t>
  </si>
  <si>
    <t>3107-0</t>
  </si>
  <si>
    <t>3108-9</t>
  </si>
  <si>
    <t>3109-7</t>
  </si>
  <si>
    <t>3110-0</t>
  </si>
  <si>
    <t>3112-7</t>
  </si>
  <si>
    <t>3113-5</t>
  </si>
  <si>
    <t>3114-3</t>
  </si>
  <si>
    <t>3115-1</t>
  </si>
  <si>
    <t>3116-0</t>
  </si>
  <si>
    <t>3117-8</t>
  </si>
  <si>
    <t>3118-6</t>
  </si>
  <si>
    <t>3119-4</t>
  </si>
  <si>
    <t>3120-8</t>
  </si>
  <si>
    <t>3121-6</t>
  </si>
  <si>
    <t>3122-4</t>
  </si>
  <si>
    <t>3123-2</t>
  </si>
  <si>
    <t>3124-0</t>
  </si>
  <si>
    <t>3125-9</t>
  </si>
  <si>
    <t>3127-5</t>
  </si>
  <si>
    <t>3128-3</t>
  </si>
  <si>
    <t>3129-1</t>
  </si>
  <si>
    <t>3130-5</t>
  </si>
  <si>
    <t>3131-3</t>
  </si>
  <si>
    <t>3132-1</t>
  </si>
  <si>
    <t>3133-0</t>
  </si>
  <si>
    <t>3134-8</t>
  </si>
  <si>
    <t>3135-6</t>
  </si>
  <si>
    <t>3136-4</t>
  </si>
  <si>
    <t>3137-2</t>
  </si>
  <si>
    <t>3138-0</t>
  </si>
  <si>
    <t>3139-9</t>
  </si>
  <si>
    <t>3140-2</t>
  </si>
  <si>
    <t>3141-0</t>
  </si>
  <si>
    <t>3142-9</t>
  </si>
  <si>
    <t>3143-7</t>
  </si>
  <si>
    <t>3144-5</t>
  </si>
  <si>
    <t>3145-3</t>
  </si>
  <si>
    <t>3146-1</t>
  </si>
  <si>
    <t>3147-0</t>
  </si>
  <si>
    <t>3148-8</t>
  </si>
  <si>
    <t>3149-6</t>
  </si>
  <si>
    <t>3150-0</t>
  </si>
  <si>
    <t>3152-6</t>
  </si>
  <si>
    <t>3154-2</t>
  </si>
  <si>
    <t>3155-0</t>
  </si>
  <si>
    <t>3157-7</t>
  </si>
  <si>
    <t>3158-5</t>
  </si>
  <si>
    <t>3159-3</t>
  </si>
  <si>
    <t>3160-7</t>
  </si>
  <si>
    <t>3161-5</t>
  </si>
  <si>
    <t>3162-3</t>
  </si>
  <si>
    <t>3163-1</t>
  </si>
  <si>
    <t>3164-0</t>
  </si>
  <si>
    <t>3165-8</t>
  </si>
  <si>
    <t>3166-6</t>
  </si>
  <si>
    <t>3167-4</t>
  </si>
  <si>
    <t>3168-2</t>
  </si>
  <si>
    <t>3169-0</t>
  </si>
  <si>
    <t>3170-4</t>
  </si>
  <si>
    <t>3171-2</t>
  </si>
  <si>
    <t>3172-0</t>
  </si>
  <si>
    <t>3173-9</t>
  </si>
  <si>
    <t>3174-7</t>
  </si>
  <si>
    <t>3175-5</t>
  </si>
  <si>
    <t>3176-3</t>
  </si>
  <si>
    <t>3177-1</t>
  </si>
  <si>
    <t>3178-0</t>
  </si>
  <si>
    <t>3179-8</t>
  </si>
  <si>
    <t>3180-1</t>
  </si>
  <si>
    <t>3181-0</t>
  </si>
  <si>
    <t>3182-8</t>
  </si>
  <si>
    <t>3183-6</t>
  </si>
  <si>
    <t>3184-4</t>
  </si>
  <si>
    <t>3185-2</t>
  </si>
  <si>
    <t>3186-0</t>
  </si>
  <si>
    <t>3187-9</t>
  </si>
  <si>
    <t>3188-7</t>
  </si>
  <si>
    <t>3189-5</t>
  </si>
  <si>
    <t>3190-9</t>
  </si>
  <si>
    <t>3191-7</t>
  </si>
  <si>
    <t>3192-5</t>
  </si>
  <si>
    <t>3193-3</t>
  </si>
  <si>
    <t>3194-1</t>
  </si>
  <si>
    <t>3195-0</t>
  </si>
  <si>
    <t>3196-8</t>
  </si>
  <si>
    <t>3197-6</t>
  </si>
  <si>
    <t>3198-4</t>
  </si>
  <si>
    <t>3199-2</t>
  </si>
  <si>
    <t>3200-0</t>
  </si>
  <si>
    <t>3201-8</t>
  </si>
  <si>
    <t>3202-6</t>
  </si>
  <si>
    <t>3203-4</t>
  </si>
  <si>
    <t>3204-2</t>
  </si>
  <si>
    <t>3205-0</t>
  </si>
  <si>
    <t>3206-9</t>
  </si>
  <si>
    <t>3207-7</t>
  </si>
  <si>
    <t>3208-5</t>
  </si>
  <si>
    <t>3209-3</t>
  </si>
  <si>
    <t>3210-7</t>
  </si>
  <si>
    <t>3211-5</t>
  </si>
  <si>
    <t>3212-3</t>
  </si>
  <si>
    <t>3214-0</t>
  </si>
  <si>
    <t>3215-8</t>
  </si>
  <si>
    <t>3216-6</t>
  </si>
  <si>
    <t>3217-4</t>
  </si>
  <si>
    <t>3219-0</t>
  </si>
  <si>
    <t>3220-4</t>
  </si>
  <si>
    <t>3221-2</t>
  </si>
  <si>
    <t>3223-9</t>
  </si>
  <si>
    <t>3224-7</t>
  </si>
  <si>
    <t>3225-5</t>
  </si>
  <si>
    <t>3226-3</t>
  </si>
  <si>
    <t>3227-1</t>
  </si>
  <si>
    <t>3228-0</t>
  </si>
  <si>
    <t>3229-8</t>
  </si>
  <si>
    <t>3230-1</t>
  </si>
  <si>
    <t>3231-0</t>
  </si>
  <si>
    <t>3232-8</t>
  </si>
  <si>
    <t>3233-6</t>
  </si>
  <si>
    <t>3234-4</t>
  </si>
  <si>
    <t>3235-2</t>
  </si>
  <si>
    <t>3236-0</t>
  </si>
  <si>
    <t>3237-9</t>
  </si>
  <si>
    <t>3238-7</t>
  </si>
  <si>
    <t>3239-5</t>
  </si>
  <si>
    <t>3240-9</t>
  </si>
  <si>
    <t>3241-7</t>
  </si>
  <si>
    <t>3242-5</t>
  </si>
  <si>
    <t>3243-3</t>
  </si>
  <si>
    <t>3244-1</t>
  </si>
  <si>
    <t>3245-0</t>
  </si>
  <si>
    <t>3246-8</t>
  </si>
  <si>
    <t>3247-6</t>
  </si>
  <si>
    <t>3248-4</t>
  </si>
  <si>
    <t>3249-2</t>
  </si>
  <si>
    <t>3250-6</t>
  </si>
  <si>
    <t>3251-4</t>
  </si>
  <si>
    <t>3252-2</t>
  </si>
  <si>
    <t>3253-0</t>
  </si>
  <si>
    <t>3254-9</t>
  </si>
  <si>
    <t>3255-7</t>
  </si>
  <si>
    <t>3256-5</t>
  </si>
  <si>
    <t>3257-3</t>
  </si>
  <si>
    <t>3258-1</t>
  </si>
  <si>
    <t>3259-0</t>
  </si>
  <si>
    <t>3261-1</t>
  </si>
  <si>
    <t>03. Remessa CNAB400:</t>
  </si>
  <si>
    <t>04. Retorno CNAB400:</t>
  </si>
  <si>
    <t>05. Remessa CNAB240:</t>
  </si>
  <si>
    <t>Este documento tem por objetivo auxiliar os desenvolvedores de sistemas na implantação do serviço de cobrança nos padrões Sicoob. Constam instruções com relação ao padrão do boleto que deverá ser impresso, mecanismo de cálculo do nosso número, montagem da linha digitável e código de barras e um validador de linha digitável que poderá ser utilizado  no ambiente da empresa antes do boleto ser encaminhado para validação final pelas cooperativas.</t>
  </si>
  <si>
    <t>Após gerar boletos no sistema da empresa, utilizar esta planilha para validar as iformações que foram impressas no documento.</t>
  </si>
  <si>
    <t xml:space="preserve">INSTRUÇÕES PARA MONTAGEM E VALIDAÇÃO DE BOLETOS DE COBRANÇA </t>
  </si>
  <si>
    <t>3262-0</t>
  </si>
  <si>
    <t>3263-8</t>
  </si>
  <si>
    <t>3264-6</t>
  </si>
  <si>
    <t>3265-4</t>
  </si>
  <si>
    <t>3266-2</t>
  </si>
  <si>
    <t>3267-0</t>
  </si>
  <si>
    <t>3268-9</t>
  </si>
  <si>
    <t>3269-7</t>
  </si>
  <si>
    <t>3270-0</t>
  </si>
  <si>
    <t>3271-9</t>
  </si>
  <si>
    <t>3272-7</t>
  </si>
  <si>
    <t>3273-5</t>
  </si>
  <si>
    <t>3274-3</t>
  </si>
  <si>
    <t>3275-1</t>
  </si>
  <si>
    <t>3276-0</t>
  </si>
  <si>
    <t>3277-8</t>
  </si>
  <si>
    <t>3278-6</t>
  </si>
  <si>
    <t>3279-4</t>
  </si>
  <si>
    <t>3280-8</t>
  </si>
  <si>
    <t>3281-6</t>
  </si>
  <si>
    <t>3282-4</t>
  </si>
  <si>
    <t>3283-2</t>
  </si>
  <si>
    <t>3284-0</t>
  </si>
  <si>
    <t>3285-9</t>
  </si>
  <si>
    <t>3287-5</t>
  </si>
  <si>
    <t>3288-3</t>
  </si>
  <si>
    <t>3289-1</t>
  </si>
  <si>
    <t>3290-5</t>
  </si>
  <si>
    <t>3291-3</t>
  </si>
  <si>
    <t>3292-1</t>
  </si>
  <si>
    <t>3293-0</t>
  </si>
  <si>
    <t>3295-6</t>
  </si>
  <si>
    <t>3296-4</t>
  </si>
  <si>
    <t>3297-2</t>
  </si>
  <si>
    <t>3298-0</t>
  </si>
  <si>
    <t>3299-9</t>
  </si>
  <si>
    <t>3300-6</t>
  </si>
  <si>
    <t>3301-4</t>
  </si>
  <si>
    <t>3302-2</t>
  </si>
  <si>
    <t>3303-0</t>
  </si>
  <si>
    <t>3304-9</t>
  </si>
  <si>
    <t>3305-7</t>
  </si>
  <si>
    <t>3306-5</t>
  </si>
  <si>
    <t>3307-3</t>
  </si>
  <si>
    <t>3308-1</t>
  </si>
  <si>
    <t>3309-0</t>
  </si>
  <si>
    <t>3310-3</t>
  </si>
  <si>
    <t>3311-1</t>
  </si>
  <si>
    <t>3312-0</t>
  </si>
  <si>
    <t>3313-8</t>
  </si>
  <si>
    <t>3314-6</t>
  </si>
  <si>
    <t>3315-4</t>
  </si>
  <si>
    <t>3316-2</t>
  </si>
  <si>
    <t>3317-0</t>
  </si>
  <si>
    <t>3318-9</t>
  </si>
  <si>
    <t>3319-7</t>
  </si>
  <si>
    <t>3320-0</t>
  </si>
  <si>
    <t>3321-9</t>
  </si>
  <si>
    <t>3322-7</t>
  </si>
  <si>
    <t>3323-5</t>
  </si>
  <si>
    <t>3324-3</t>
  </si>
  <si>
    <t>3325-1</t>
  </si>
  <si>
    <t>3326-0</t>
  </si>
  <si>
    <t>3327-8</t>
  </si>
  <si>
    <t>3328-6</t>
  </si>
  <si>
    <t>3329-4</t>
  </si>
  <si>
    <t>3330-8</t>
  </si>
  <si>
    <t>3331-6</t>
  </si>
  <si>
    <t>3332-4</t>
  </si>
  <si>
    <t>3333-2</t>
  </si>
  <si>
    <t>3334-0</t>
  </si>
  <si>
    <t>3335-9</t>
  </si>
  <si>
    <t>3336-7</t>
  </si>
  <si>
    <t>3337-5</t>
  </si>
  <si>
    <t>3338-3</t>
  </si>
  <si>
    <t>3339-1</t>
  </si>
  <si>
    <t>3340-5</t>
  </si>
  <si>
    <t>3341-3</t>
  </si>
  <si>
    <t>3342-1</t>
  </si>
  <si>
    <t>3343-0</t>
  </si>
  <si>
    <t>3344-8</t>
  </si>
  <si>
    <t>3346-4</t>
  </si>
  <si>
    <t>3347-2</t>
  </si>
  <si>
    <t>3348-0</t>
  </si>
  <si>
    <t>3349-9</t>
  </si>
  <si>
    <t>3350-2</t>
  </si>
  <si>
    <t>3351-0</t>
  </si>
  <si>
    <t>3352-9</t>
  </si>
  <si>
    <t>3353-7</t>
  </si>
  <si>
    <t>3354-5</t>
  </si>
  <si>
    <t>3355-3</t>
  </si>
  <si>
    <t>3356-1</t>
  </si>
  <si>
    <t>3357-0</t>
  </si>
  <si>
    <t>3358-8</t>
  </si>
  <si>
    <t>3359-6</t>
  </si>
  <si>
    <t>3360-0</t>
  </si>
  <si>
    <t>3361-8</t>
  </si>
  <si>
    <t>3362-6</t>
  </si>
  <si>
    <t>3363-4</t>
  </si>
  <si>
    <t>3364-2</t>
  </si>
  <si>
    <t>3365-0</t>
  </si>
  <si>
    <t>3366-9</t>
  </si>
  <si>
    <t>4001-0</t>
  </si>
  <si>
    <t>4002-9</t>
  </si>
  <si>
    <t>4003-7</t>
  </si>
  <si>
    <t>4004-5</t>
  </si>
  <si>
    <t>4005-3</t>
  </si>
  <si>
    <t>4006-1</t>
  </si>
  <si>
    <t>4007-0</t>
  </si>
  <si>
    <t>4008-8</t>
  </si>
  <si>
    <t>4009-6</t>
  </si>
  <si>
    <t>4010-0</t>
  </si>
  <si>
    <t>4011-8</t>
  </si>
  <si>
    <t>4012-6</t>
  </si>
  <si>
    <t>4013-4</t>
  </si>
  <si>
    <t>4014-2</t>
  </si>
  <si>
    <t>4015-0</t>
  </si>
  <si>
    <t>4016-9</t>
  </si>
  <si>
    <t>4017-7</t>
  </si>
  <si>
    <t>4018-5</t>
  </si>
  <si>
    <t>4019-3</t>
  </si>
  <si>
    <t>4020-7</t>
  </si>
  <si>
    <t>4021-5</t>
  </si>
  <si>
    <t>4022-3</t>
  </si>
  <si>
    <t>4023-1</t>
  </si>
  <si>
    <t>4024-0</t>
  </si>
  <si>
    <t>4025-8</t>
  </si>
  <si>
    <t>4026-6</t>
  </si>
  <si>
    <t>4027-4</t>
  </si>
  <si>
    <t>4028-2</t>
  </si>
  <si>
    <t>4029-0</t>
  </si>
  <si>
    <t>4030-4</t>
  </si>
  <si>
    <t>4031-2</t>
  </si>
  <si>
    <t>4032-0</t>
  </si>
  <si>
    <t>4033-9</t>
  </si>
  <si>
    <t>4034-7</t>
  </si>
  <si>
    <t>4035-5</t>
  </si>
  <si>
    <t>4036-3</t>
  </si>
  <si>
    <t>4037-1</t>
  </si>
  <si>
    <t>4038-0</t>
  </si>
  <si>
    <t>4039-8</t>
  </si>
  <si>
    <t>4040-1</t>
  </si>
  <si>
    <t>4041-0</t>
  </si>
  <si>
    <t>4042-8</t>
  </si>
  <si>
    <t>4043-6</t>
  </si>
  <si>
    <t>4044-4</t>
  </si>
  <si>
    <t>4045-2</t>
  </si>
  <si>
    <t>4046-0</t>
  </si>
  <si>
    <t>4047-9</t>
  </si>
  <si>
    <t>4048-7</t>
  </si>
  <si>
    <t>4049-5</t>
  </si>
  <si>
    <t>4050-9</t>
  </si>
  <si>
    <t>4051-7</t>
  </si>
  <si>
    <t>4052-5</t>
  </si>
  <si>
    <t>4053-3</t>
  </si>
  <si>
    <t>4054-1</t>
  </si>
  <si>
    <t>4055-0</t>
  </si>
  <si>
    <t>4056-8</t>
  </si>
  <si>
    <t>4057-6</t>
  </si>
  <si>
    <t>4058-4</t>
  </si>
  <si>
    <t>4059-2</t>
  </si>
  <si>
    <t>4060-6</t>
  </si>
  <si>
    <t>4061-4</t>
  </si>
  <si>
    <t>4062-2</t>
  </si>
  <si>
    <t>4063-0</t>
  </si>
  <si>
    <t>4064-9</t>
  </si>
  <si>
    <t>4065-7</t>
  </si>
  <si>
    <t>4066-5</t>
  </si>
  <si>
    <t>4067-3</t>
  </si>
  <si>
    <t>4068-1</t>
  </si>
  <si>
    <t>4069-0</t>
  </si>
  <si>
    <t>4070-3</t>
  </si>
  <si>
    <t>4071-1</t>
  </si>
  <si>
    <t>4072-0</t>
  </si>
  <si>
    <t>4073-8</t>
  </si>
  <si>
    <t>4074-6</t>
  </si>
  <si>
    <t>4075-4</t>
  </si>
  <si>
    <t>4076-2</t>
  </si>
  <si>
    <t>4077-0</t>
  </si>
  <si>
    <t>4078-9</t>
  </si>
  <si>
    <t>4079-7</t>
  </si>
  <si>
    <t>4080-0</t>
  </si>
  <si>
    <t>4081-9</t>
  </si>
  <si>
    <t>4082-7</t>
  </si>
  <si>
    <t>4083-5</t>
  </si>
  <si>
    <t>4084-3</t>
  </si>
  <si>
    <t>4085-1</t>
  </si>
  <si>
    <t>4086-0</t>
  </si>
  <si>
    <t>4087-8</t>
  </si>
  <si>
    <t>4088-6</t>
  </si>
  <si>
    <t>4089-4</t>
  </si>
  <si>
    <t>4090-8</t>
  </si>
  <si>
    <t>4091-6</t>
  </si>
  <si>
    <t>4092-4</t>
  </si>
  <si>
    <t>4093-2</t>
  </si>
  <si>
    <t>4094-0</t>
  </si>
  <si>
    <t>4095-9</t>
  </si>
  <si>
    <t>4096-7</t>
  </si>
  <si>
    <t>4097-5</t>
  </si>
  <si>
    <t>4098-3</t>
  </si>
  <si>
    <t>4099-1</t>
  </si>
  <si>
    <t>4100-9</t>
  </si>
  <si>
    <t>4101-7</t>
  </si>
  <si>
    <t>4102-5</t>
  </si>
  <si>
    <t>4103-3</t>
  </si>
  <si>
    <t>4104-1</t>
  </si>
  <si>
    <t>4105-0</t>
  </si>
  <si>
    <t>4106-8</t>
  </si>
  <si>
    <t>4107-6</t>
  </si>
  <si>
    <t>4108-4</t>
  </si>
  <si>
    <t>4109-2</t>
  </si>
  <si>
    <t>4110-6</t>
  </si>
  <si>
    <t>4111-4</t>
  </si>
  <si>
    <t>4112-2</t>
  </si>
  <si>
    <t>4113-0</t>
  </si>
  <si>
    <t>4114-9</t>
  </si>
  <si>
    <t>4115-7</t>
  </si>
  <si>
    <t>4116-5</t>
  </si>
  <si>
    <t>4117-3</t>
  </si>
  <si>
    <t>4118-1</t>
  </si>
  <si>
    <t>4119-0</t>
  </si>
  <si>
    <t>4120-3</t>
  </si>
  <si>
    <t>4121-1</t>
  </si>
  <si>
    <t>4122-0</t>
  </si>
  <si>
    <t>4123-8</t>
  </si>
  <si>
    <t>4124-6</t>
  </si>
  <si>
    <t>4125-4</t>
  </si>
  <si>
    <t>4126-2</t>
  </si>
  <si>
    <t>4127-0</t>
  </si>
  <si>
    <t>4128-9</t>
  </si>
  <si>
    <t>4129-7</t>
  </si>
  <si>
    <t>4130-0</t>
  </si>
  <si>
    <t>4131-9</t>
  </si>
  <si>
    <t>4132-7</t>
  </si>
  <si>
    <t>4133-5</t>
  </si>
  <si>
    <t>4134-3</t>
  </si>
  <si>
    <t>4135-1</t>
  </si>
  <si>
    <t>4136-0</t>
  </si>
  <si>
    <t>4137-8</t>
  </si>
  <si>
    <t>4138-6</t>
  </si>
  <si>
    <t>4139-4</t>
  </si>
  <si>
    <t>4140-8</t>
  </si>
  <si>
    <t>4141-6</t>
  </si>
  <si>
    <t>4142-4</t>
  </si>
  <si>
    <t>4143-2</t>
  </si>
  <si>
    <t>4144-0</t>
  </si>
  <si>
    <t>4145-9</t>
  </si>
  <si>
    <t>4146-7</t>
  </si>
  <si>
    <t>4147-5</t>
  </si>
  <si>
    <t>4149-1</t>
  </si>
  <si>
    <t>4150-5</t>
  </si>
  <si>
    <t>4151-3</t>
  </si>
  <si>
    <t>4152-1</t>
  </si>
  <si>
    <t>4153-0</t>
  </si>
  <si>
    <t>4154-8</t>
  </si>
  <si>
    <t>4155-6</t>
  </si>
  <si>
    <t>4156-4</t>
  </si>
  <si>
    <t>4157-2</t>
  </si>
  <si>
    <t>4158-0</t>
  </si>
  <si>
    <t>4159-9</t>
  </si>
  <si>
    <t>4160-2</t>
  </si>
  <si>
    <t>4161-0</t>
  </si>
  <si>
    <t>4162-9</t>
  </si>
  <si>
    <t>4163-7</t>
  </si>
  <si>
    <t>4164-5</t>
  </si>
  <si>
    <t>4165-3</t>
  </si>
  <si>
    <t>4166-1</t>
  </si>
  <si>
    <t>4167-0</t>
  </si>
  <si>
    <t>4168-8</t>
  </si>
  <si>
    <t>4169-6</t>
  </si>
  <si>
    <t>4170-0</t>
  </si>
  <si>
    <t>4171-8</t>
  </si>
  <si>
    <t>4172-6</t>
  </si>
  <si>
    <t>4173-4</t>
  </si>
  <si>
    <t>4174-2</t>
  </si>
  <si>
    <t>4175-0</t>
  </si>
  <si>
    <t>4176-9</t>
  </si>
  <si>
    <t>4177-7</t>
  </si>
  <si>
    <t>4178-5</t>
  </si>
  <si>
    <t>4179-3</t>
  </si>
  <si>
    <t>4180-7</t>
  </si>
  <si>
    <t>4181-5</t>
  </si>
  <si>
    <t>4182-3</t>
  </si>
  <si>
    <t>4183-1</t>
  </si>
  <si>
    <t>4184-0</t>
  </si>
  <si>
    <t>4185-8</t>
  </si>
  <si>
    <t>4186-6</t>
  </si>
  <si>
    <t>4187-4</t>
  </si>
  <si>
    <t>4188-2</t>
  </si>
  <si>
    <t>4189-0</t>
  </si>
  <si>
    <t>4190-4</t>
  </si>
  <si>
    <t>4191-2</t>
  </si>
  <si>
    <t>4192-0</t>
  </si>
  <si>
    <t>4193-9</t>
  </si>
  <si>
    <t>4194-7</t>
  </si>
  <si>
    <t>4195-5</t>
  </si>
  <si>
    <t>4196-3</t>
  </si>
  <si>
    <t>4197-1</t>
  </si>
  <si>
    <t>4198-0</t>
  </si>
  <si>
    <t>4199-8</t>
  </si>
  <si>
    <t>4200-5</t>
  </si>
  <si>
    <t>4201-3</t>
  </si>
  <si>
    <t>4202-1</t>
  </si>
  <si>
    <t>4203-0</t>
  </si>
  <si>
    <t>4204-8</t>
  </si>
  <si>
    <t>4206-4</t>
  </si>
  <si>
    <t>4207-2</t>
  </si>
  <si>
    <t>4208-0</t>
  </si>
  <si>
    <t>4209-9</t>
  </si>
  <si>
    <t>4210-2</t>
  </si>
  <si>
    <t>4211-0</t>
  </si>
  <si>
    <t>4212-9</t>
  </si>
  <si>
    <t>4213-7</t>
  </si>
  <si>
    <t>4214-5</t>
  </si>
  <si>
    <t>4215-3</t>
  </si>
  <si>
    <t>4216-1</t>
  </si>
  <si>
    <t>4217-0</t>
  </si>
  <si>
    <t>4218-8</t>
  </si>
  <si>
    <t>4219-6</t>
  </si>
  <si>
    <t>4221-8</t>
  </si>
  <si>
    <t>4222-6</t>
  </si>
  <si>
    <t>4223-4</t>
  </si>
  <si>
    <t>4224-2</t>
  </si>
  <si>
    <t>4225-0</t>
  </si>
  <si>
    <t>4226-9</t>
  </si>
  <si>
    <t>4227-7</t>
  </si>
  <si>
    <t>4228-5</t>
  </si>
  <si>
    <t>4229-3</t>
  </si>
  <si>
    <t>4230-7</t>
  </si>
  <si>
    <t>4231-5</t>
  </si>
  <si>
    <t>CREDIBRASIL</t>
  </si>
  <si>
    <t>4232-3</t>
  </si>
  <si>
    <t>4233-1</t>
  </si>
  <si>
    <t>4234-0</t>
  </si>
  <si>
    <t>4235-8</t>
  </si>
  <si>
    <t>4236-6</t>
  </si>
  <si>
    <t>4237-4</t>
  </si>
  <si>
    <t>4238-2</t>
  </si>
  <si>
    <t>4239-0</t>
  </si>
  <si>
    <t>4240-4</t>
  </si>
  <si>
    <t>4241-2</t>
  </si>
  <si>
    <t>4242-0</t>
  </si>
  <si>
    <t>4243-9</t>
  </si>
  <si>
    <t>4244-7</t>
  </si>
  <si>
    <t>4245-5</t>
  </si>
  <si>
    <t>4246-3</t>
  </si>
  <si>
    <t>4247-1</t>
  </si>
  <si>
    <t>4248-0</t>
  </si>
  <si>
    <t>4249-8</t>
  </si>
  <si>
    <t>4250-1</t>
  </si>
  <si>
    <t>4251-0</t>
  </si>
  <si>
    <t>4252-8</t>
  </si>
  <si>
    <t>4253-6</t>
  </si>
  <si>
    <t>4254-4</t>
  </si>
  <si>
    <t>4255-2</t>
  </si>
  <si>
    <t>4256-0</t>
  </si>
  <si>
    <t>4257-9</t>
  </si>
  <si>
    <t>4258-7</t>
  </si>
  <si>
    <t>4259-5</t>
  </si>
  <si>
    <t>4260-9</t>
  </si>
  <si>
    <t>4261-7</t>
  </si>
  <si>
    <t>4262-5</t>
  </si>
  <si>
    <t>4263-3</t>
  </si>
  <si>
    <t>4264-1</t>
  </si>
  <si>
    <t>4265-0</t>
  </si>
  <si>
    <t>4266-8</t>
  </si>
  <si>
    <t>4267-6</t>
  </si>
  <si>
    <t>4268-4</t>
  </si>
  <si>
    <t>4269-2</t>
  </si>
  <si>
    <t>4271-4</t>
  </si>
  <si>
    <t>4272-2</t>
  </si>
  <si>
    <t>4273-0</t>
  </si>
  <si>
    <t>4274-9</t>
  </si>
  <si>
    <t>4275-7</t>
  </si>
  <si>
    <t>4276-5</t>
  </si>
  <si>
    <t>4277-3</t>
  </si>
  <si>
    <t>4278-1</t>
  </si>
  <si>
    <t>4279-0</t>
  </si>
  <si>
    <t>4280-3</t>
  </si>
  <si>
    <t>4281-1</t>
  </si>
  <si>
    <t>4282-0</t>
  </si>
  <si>
    <t>4283-8</t>
  </si>
  <si>
    <t>4284-6</t>
  </si>
  <si>
    <t>4285-4</t>
  </si>
  <si>
    <t>4286-2</t>
  </si>
  <si>
    <t>4287-0</t>
  </si>
  <si>
    <t>4288-9</t>
  </si>
  <si>
    <t>4289-7</t>
  </si>
  <si>
    <t>4290-0</t>
  </si>
  <si>
    <t>4291-9</t>
  </si>
  <si>
    <t>4292-7</t>
  </si>
  <si>
    <t>4293-5</t>
  </si>
  <si>
    <t>4294-3</t>
  </si>
  <si>
    <t>4295-1</t>
  </si>
  <si>
    <t>4296-0</t>
  </si>
  <si>
    <t>4297-8</t>
  </si>
  <si>
    <t>4299-4</t>
  </si>
  <si>
    <t>4300-1</t>
  </si>
  <si>
    <t>4301-0</t>
  </si>
  <si>
    <t>4302-8</t>
  </si>
  <si>
    <t>4303-6</t>
  </si>
  <si>
    <t>4304-4</t>
  </si>
  <si>
    <t>4305-2</t>
  </si>
  <si>
    <t>4306-0</t>
  </si>
  <si>
    <t>4307-9</t>
  </si>
  <si>
    <t>4308-7</t>
  </si>
  <si>
    <t>4309-5</t>
  </si>
  <si>
    <t>4310-9</t>
  </si>
  <si>
    <t>4311-7</t>
  </si>
  <si>
    <t>4312-5</t>
  </si>
  <si>
    <t>4313-3</t>
  </si>
  <si>
    <t>4314-1</t>
  </si>
  <si>
    <t>4315-0</t>
  </si>
  <si>
    <t>4316-8</t>
  </si>
  <si>
    <t>4317-6</t>
  </si>
  <si>
    <t>4318-4</t>
  </si>
  <si>
    <t>4319-2</t>
  </si>
  <si>
    <t>4320-6</t>
  </si>
  <si>
    <t>4321-4</t>
  </si>
  <si>
    <t>4323-0</t>
  </si>
  <si>
    <t>4324-9</t>
  </si>
  <si>
    <t>4325-7</t>
  </si>
  <si>
    <t>4326-5</t>
  </si>
  <si>
    <t>4327-3</t>
  </si>
  <si>
    <t>4328-1</t>
  </si>
  <si>
    <t>4329-0</t>
  </si>
  <si>
    <t>4330-3</t>
  </si>
  <si>
    <t>4331-1</t>
  </si>
  <si>
    <t>4332-0</t>
  </si>
  <si>
    <t>4333-8</t>
  </si>
  <si>
    <t>4334-6</t>
  </si>
  <si>
    <t>4335-4</t>
  </si>
  <si>
    <t>4336-2</t>
  </si>
  <si>
    <t>4337-0</t>
  </si>
  <si>
    <t>4338-9</t>
  </si>
  <si>
    <t>4339-7</t>
  </si>
  <si>
    <t>4340-0</t>
  </si>
  <si>
    <t>4341-9</t>
  </si>
  <si>
    <t>4342-7</t>
  </si>
  <si>
    <t>4343-5</t>
  </si>
  <si>
    <t>4344-3</t>
  </si>
  <si>
    <t>4345-1</t>
  </si>
  <si>
    <t>4346-0</t>
  </si>
  <si>
    <t>4347-8</t>
  </si>
  <si>
    <t>4348-6</t>
  </si>
  <si>
    <t>4349-4</t>
  </si>
  <si>
    <t>4350-8</t>
  </si>
  <si>
    <t>4351-6</t>
  </si>
  <si>
    <t>4352-4</t>
  </si>
  <si>
    <t>4353-2</t>
  </si>
  <si>
    <t>4354-0</t>
  </si>
  <si>
    <t>4355-9</t>
  </si>
  <si>
    <t>4356-7</t>
  </si>
  <si>
    <t>4357-5</t>
  </si>
  <si>
    <t>4358-3</t>
  </si>
  <si>
    <t>4359-1</t>
  </si>
  <si>
    <t>4360-5</t>
  </si>
  <si>
    <t>4361-3</t>
  </si>
  <si>
    <t>4362-1</t>
  </si>
  <si>
    <t>4363-0</t>
  </si>
  <si>
    <t>4364-8</t>
  </si>
  <si>
    <t>4365-6</t>
  </si>
  <si>
    <t>4366-4</t>
  </si>
  <si>
    <t>4367-2</t>
  </si>
  <si>
    <t>4368-0</t>
  </si>
  <si>
    <t>4369-9</t>
  </si>
  <si>
    <t>4370-2</t>
  </si>
  <si>
    <t>4371-0</t>
  </si>
  <si>
    <t>4372-9</t>
  </si>
  <si>
    <t>4373-7</t>
  </si>
  <si>
    <t>4374-5</t>
  </si>
  <si>
    <t>4375-3</t>
  </si>
  <si>
    <t>4376-1</t>
  </si>
  <si>
    <t>4377-0</t>
  </si>
  <si>
    <t>4378-8</t>
  </si>
  <si>
    <t>4379-6</t>
  </si>
  <si>
    <t>4380-0</t>
  </si>
  <si>
    <t>4381-8</t>
  </si>
  <si>
    <t>4382-6</t>
  </si>
  <si>
    <t>4383-4</t>
  </si>
  <si>
    <t>4384-2</t>
  </si>
  <si>
    <t>4385-0</t>
  </si>
  <si>
    <t>4386-9</t>
  </si>
  <si>
    <t>4387-7</t>
  </si>
  <si>
    <t>4388-5</t>
  </si>
  <si>
    <t>4389-3</t>
  </si>
  <si>
    <t>4390-7</t>
  </si>
  <si>
    <t>4391-5</t>
  </si>
  <si>
    <t>4392-3</t>
  </si>
  <si>
    <t>4393-1</t>
  </si>
  <si>
    <t>4394-0</t>
  </si>
  <si>
    <t>4395-8</t>
  </si>
  <si>
    <t>4396-6</t>
  </si>
  <si>
    <t>4397-4</t>
  </si>
  <si>
    <t>4398-2</t>
  </si>
  <si>
    <t>4399-0</t>
  </si>
  <si>
    <t>4400-8</t>
  </si>
  <si>
    <t>4401-6</t>
  </si>
  <si>
    <t>4402-4</t>
  </si>
  <si>
    <t>4403-2</t>
  </si>
  <si>
    <t>4404-0</t>
  </si>
  <si>
    <t>4405-9</t>
  </si>
  <si>
    <t>4406-7</t>
  </si>
  <si>
    <t>4407-5</t>
  </si>
  <si>
    <t>4408-3</t>
  </si>
  <si>
    <t>4409-1</t>
  </si>
  <si>
    <t>4410-5</t>
  </si>
  <si>
    <t>4411-3</t>
  </si>
  <si>
    <t>4412-1</t>
  </si>
  <si>
    <t>4413-0</t>
  </si>
  <si>
    <t>4414-8</t>
  </si>
  <si>
    <t>4415-6</t>
  </si>
  <si>
    <t>4416-4</t>
  </si>
  <si>
    <t>4421-0</t>
  </si>
  <si>
    <t>4422-9</t>
  </si>
  <si>
    <t>4423-7</t>
  </si>
  <si>
    <t>4424-5</t>
  </si>
  <si>
    <t>4425-3</t>
  </si>
  <si>
    <t>4426-1</t>
  </si>
  <si>
    <t>4427-0</t>
  </si>
  <si>
    <t>4428-8</t>
  </si>
  <si>
    <t>4429-6</t>
  </si>
  <si>
    <t>4430-0</t>
  </si>
  <si>
    <t>4431-8</t>
  </si>
  <si>
    <t>4432-6</t>
  </si>
  <si>
    <t>4433-4</t>
  </si>
  <si>
    <t>4434-2</t>
  </si>
  <si>
    <t>4435-0</t>
  </si>
  <si>
    <t>4436-9</t>
  </si>
  <si>
    <t>4437-7</t>
  </si>
  <si>
    <t>4438-5</t>
  </si>
  <si>
    <t>4439-3</t>
  </si>
  <si>
    <t>4440-7</t>
  </si>
  <si>
    <t>4441-5</t>
  </si>
  <si>
    <t>4442-3</t>
  </si>
  <si>
    <t>4443-1</t>
  </si>
  <si>
    <t>4444-0</t>
  </si>
  <si>
    <t>4445-8</t>
  </si>
  <si>
    <t>4446-6</t>
  </si>
  <si>
    <t>4447-4</t>
  </si>
  <si>
    <t>4448-2</t>
  </si>
  <si>
    <t>4449-0</t>
  </si>
  <si>
    <t>4450-4</t>
  </si>
  <si>
    <t>4451-2</t>
  </si>
  <si>
    <t>4452-0</t>
  </si>
  <si>
    <t>4453-9</t>
  </si>
  <si>
    <t>4454-7</t>
  </si>
  <si>
    <t>4455-5</t>
  </si>
  <si>
    <t>4456-3</t>
  </si>
  <si>
    <t>4457-1</t>
  </si>
  <si>
    <t>4458-0</t>
  </si>
  <si>
    <t>4459-8</t>
  </si>
  <si>
    <t>4460-1</t>
  </si>
  <si>
    <t>4461-0</t>
  </si>
  <si>
    <t>4462-8</t>
  </si>
  <si>
    <t>4463-6</t>
  </si>
  <si>
    <t>4464-4</t>
  </si>
  <si>
    <t>4465-2</t>
  </si>
  <si>
    <t>4466-0</t>
  </si>
  <si>
    <t>4467-9</t>
  </si>
  <si>
    <t>4468-7</t>
  </si>
  <si>
    <t>4469-5</t>
  </si>
  <si>
    <t>4470-9</t>
  </si>
  <si>
    <t>4471-7</t>
  </si>
  <si>
    <t>4472-5</t>
  </si>
  <si>
    <t>4473-3</t>
  </si>
  <si>
    <t>4474-1</t>
  </si>
  <si>
    <t>4475-0</t>
  </si>
  <si>
    <t>4476-8</t>
  </si>
  <si>
    <t>4477-6</t>
  </si>
  <si>
    <t>4478-4</t>
  </si>
  <si>
    <t>4479-2</t>
  </si>
  <si>
    <t>4480-6</t>
  </si>
  <si>
    <t>4481-4</t>
  </si>
  <si>
    <t>4482-2</t>
  </si>
  <si>
    <t>5002-4</t>
  </si>
  <si>
    <t>5003-2</t>
  </si>
  <si>
    <t>5004-0</t>
  </si>
  <si>
    <t>5011-3</t>
  </si>
  <si>
    <t>5012-1</t>
  </si>
  <si>
    <t>5013-0</t>
  </si>
  <si>
    <t>5014-8</t>
  </si>
  <si>
    <t>5021-0</t>
  </si>
  <si>
    <t>5022-9</t>
  </si>
  <si>
    <t>5023-7</t>
  </si>
  <si>
    <t>5024-5</t>
  </si>
  <si>
    <t>5031-8</t>
  </si>
  <si>
    <t>5032-6</t>
  </si>
  <si>
    <t>5034-2</t>
  </si>
  <si>
    <t>5042-3</t>
  </si>
  <si>
    <t>5044-0</t>
  </si>
  <si>
    <t>5051-2</t>
  </si>
  <si>
    <t>5052-0</t>
  </si>
  <si>
    <t>5054-7</t>
  </si>
  <si>
    <t>5061-0</t>
  </si>
  <si>
    <t>5062-8</t>
  </si>
  <si>
    <t>5071-7</t>
  </si>
  <si>
    <t>5072-5</t>
  </si>
  <si>
    <t>5081-4</t>
  </si>
  <si>
    <t>5082-2</t>
  </si>
  <si>
    <t>5091-1</t>
  </si>
  <si>
    <t>5092-0</t>
  </si>
  <si>
    <t>5101-2</t>
  </si>
  <si>
    <t>5102-0</t>
  </si>
  <si>
    <t>5111-0</t>
  </si>
  <si>
    <t>5112-8</t>
  </si>
  <si>
    <t>5121-7</t>
  </si>
  <si>
    <t>5122-5</t>
  </si>
  <si>
    <t>5131-4</t>
  </si>
  <si>
    <t>5132-2</t>
  </si>
  <si>
    <t>5141-1</t>
  </si>
  <si>
    <t>5151-9</t>
  </si>
  <si>
    <t>5161-6</t>
  </si>
  <si>
    <t>5171-3</t>
  </si>
  <si>
    <t>5181-0</t>
  </si>
  <si>
    <t>5191-8</t>
  </si>
  <si>
    <t>5201-9</t>
  </si>
  <si>
    <t>5221-3</t>
  </si>
  <si>
    <t>5231-0</t>
  </si>
  <si>
    <t>5241-8</t>
  </si>
  <si>
    <t>5251-5</t>
  </si>
  <si>
    <t>5261-2</t>
  </si>
  <si>
    <t>5297-3</t>
  </si>
  <si>
    <t>5301-5</t>
  </si>
  <si>
    <t>5311-2</t>
  </si>
  <si>
    <t>5321-0</t>
  </si>
  <si>
    <t>5331-7</t>
  </si>
  <si>
    <t>5341-4</t>
  </si>
  <si>
    <t>5361-9</t>
  </si>
  <si>
    <t>5371-6</t>
  </si>
  <si>
    <t>5381-3</t>
  </si>
  <si>
    <t>5391-0</t>
  </si>
  <si>
    <t>5401-1</t>
  </si>
  <si>
    <t>5411-9</t>
  </si>
  <si>
    <t>5421-6</t>
  </si>
  <si>
    <t>5431-3</t>
  </si>
  <si>
    <t>5441-0</t>
  </si>
  <si>
    <t>5461-5</t>
  </si>
  <si>
    <t>5471-2</t>
  </si>
  <si>
    <t>5481-0</t>
  </si>
  <si>
    <t>5611-1</t>
  </si>
  <si>
    <t>5621-9</t>
  </si>
  <si>
    <t>5631-6</t>
  </si>
  <si>
    <t>5641-3</t>
  </si>
  <si>
    <t>5651-0</t>
  </si>
  <si>
    <t>5661-8</t>
  </si>
  <si>
    <t>5671-5</t>
  </si>
  <si>
    <t>5681-2</t>
  </si>
  <si>
    <t>5691-0</t>
  </si>
  <si>
    <t>5701-0</t>
  </si>
  <si>
    <t>5731-2</t>
  </si>
  <si>
    <t>5741-0</t>
  </si>
  <si>
    <t>5751-7</t>
  </si>
  <si>
    <t>5761-4</t>
  </si>
  <si>
    <t>5771-1</t>
  </si>
  <si>
    <t>5781-9</t>
  </si>
  <si>
    <t>5791-6</t>
  </si>
  <si>
    <t>5801-7</t>
  </si>
  <si>
    <t>5811-4</t>
  </si>
  <si>
    <t>5821-1</t>
  </si>
  <si>
    <t>5831-9</t>
  </si>
  <si>
    <t>5841-6</t>
  </si>
  <si>
    <t>5851-3</t>
  </si>
  <si>
    <t>5861-0</t>
  </si>
  <si>
    <t>5871-8</t>
  </si>
  <si>
    <t>5881-5</t>
  </si>
  <si>
    <t>5891-2</t>
  </si>
  <si>
    <t>5901-3</t>
  </si>
  <si>
    <t>5911-0</t>
  </si>
  <si>
    <t>5931-5</t>
  </si>
  <si>
    <t>5941-2</t>
  </si>
  <si>
    <t>5961-7</t>
  </si>
  <si>
    <t>6011-9</t>
  </si>
  <si>
    <t>AGÊNCIA SEDE</t>
  </si>
  <si>
    <t>2. Utilização:</t>
  </si>
  <si>
    <t>1. Objetivo:</t>
  </si>
  <si>
    <t>3. Informações Disponíveis:</t>
  </si>
  <si>
    <t>01. Capa:</t>
  </si>
  <si>
    <t>02. Especificações do Boleto:</t>
  </si>
  <si>
    <t>Informações com relação as informações que deverão constar no boleto de cobrança à ser impresso</t>
  </si>
  <si>
    <t>Layout do arquivo de remessa no layout CNAB400 da FEBRABAN</t>
  </si>
  <si>
    <t>Layout do arquivo de retorno no layout CNAB400 da FEBRABAN</t>
  </si>
  <si>
    <t>Layout do arquivo de remessa no layout CNAB240 da FEBRABAN</t>
  </si>
  <si>
    <t>Funções em DELPHI para cálculo do nosso número, fator de vencimento e montagem linha digitável e código de barras.</t>
  </si>
  <si>
    <t>01.3Q</t>
  </si>
  <si>
    <t>02.3Q</t>
  </si>
  <si>
    <t>03.3Q</t>
  </si>
  <si>
    <t>04.3Q</t>
  </si>
  <si>
    <t>05.3Q</t>
  </si>
  <si>
    <t>06.3Q</t>
  </si>
  <si>
    <t>07.3Q</t>
  </si>
  <si>
    <t>08.3Q</t>
  </si>
  <si>
    <t>09.3Q</t>
  </si>
  <si>
    <t>10.3Q</t>
  </si>
  <si>
    <t>11.3Q</t>
  </si>
  <si>
    <t>12.3Q</t>
  </si>
  <si>
    <t>13.3Q</t>
  </si>
  <si>
    <t>14.3Q</t>
  </si>
  <si>
    <t>15.3Q</t>
  </si>
  <si>
    <t>16.3Q</t>
  </si>
  <si>
    <t>17.3Q</t>
  </si>
  <si>
    <t>18.3Q</t>
  </si>
  <si>
    <t>19.3Q</t>
  </si>
  <si>
    <t>20.3Q</t>
  </si>
  <si>
    <t>21.3Q</t>
  </si>
  <si>
    <t>22.3Q</t>
  </si>
  <si>
    <t>REGISTRO DETALHE SEGMENTO Q</t>
  </si>
  <si>
    <t>Sufixo do CEP</t>
  </si>
  <si>
    <t>Cód. Bco. Corresp. na Compensação</t>
  </si>
  <si>
    <t>Nosso Nº no Banco Correspondente</t>
  </si>
  <si>
    <t>UF  - Unidade da Federação</t>
  </si>
  <si>
    <t>Cód. Segmento do Registro Detalhe: "Q"</t>
  </si>
  <si>
    <t>Tipo de Inscrição Sacador Avalista:
'1'  =  CPF
'2'  =  CGC / CNPJ</t>
  </si>
  <si>
    <t>Voltar</t>
  </si>
  <si>
    <t>Para utilizar este documento, deve-se seguir a sequencia dos itens abaixo, sendo que em algumas delas é necessário o preenchimento de informações que deverão ser repassadas pelo associado ou pela cooperativa do Sicoob para que as validações sejam efetivadas.</t>
  </si>
  <si>
    <t>Numero do borderô: preencher em caso de carteira 3</t>
  </si>
  <si>
    <t>Indicativo de Mensagem ou Sacador/Avalista:
Brancos: Poderá ser informada nas posições 352 a 391 (SEQ 50) qualquer mensagem para ser impressa no boleto;
“A”: Deverá ser informado nas posições 352 a 391 (SEQ 50) o nome e CPF/CNPJ do sacador</t>
  </si>
  <si>
    <t>Endereço</t>
  </si>
  <si>
    <t>Bairro</t>
  </si>
  <si>
    <t>Cidade</t>
  </si>
  <si>
    <t>CEP</t>
  </si>
  <si>
    <t>REGISTRO DETALHE SEGMENTO R</t>
  </si>
  <si>
    <t>01.3R</t>
  </si>
  <si>
    <t>02.3R</t>
  </si>
  <si>
    <t>03.3R</t>
  </si>
  <si>
    <t>04.3R</t>
  </si>
  <si>
    <t>05.3R</t>
  </si>
  <si>
    <t>06.3R</t>
  </si>
  <si>
    <t>07.3R</t>
  </si>
  <si>
    <t>08.3R</t>
  </si>
  <si>
    <t>09.3R</t>
  </si>
  <si>
    <t>10.3R</t>
  </si>
  <si>
    <t>11.3R</t>
  </si>
  <si>
    <t>12.3R</t>
  </si>
  <si>
    <t>13.3R</t>
  </si>
  <si>
    <t>14.3R</t>
  </si>
  <si>
    <t>15.3R</t>
  </si>
  <si>
    <t>16.3R</t>
  </si>
  <si>
    <t>17.3R</t>
  </si>
  <si>
    <t>18.3R</t>
  </si>
  <si>
    <t>19.3R</t>
  </si>
  <si>
    <t>20.3R</t>
  </si>
  <si>
    <t>21.3R</t>
  </si>
  <si>
    <t>22.3R</t>
  </si>
  <si>
    <t>23.3R</t>
  </si>
  <si>
    <t>24.3R.</t>
  </si>
  <si>
    <t>25.3R</t>
  </si>
  <si>
    <t>26.3R</t>
  </si>
  <si>
    <t>27.3R</t>
  </si>
  <si>
    <t>28.3R</t>
  </si>
  <si>
    <t>29.3R</t>
  </si>
  <si>
    <t>Desc2</t>
  </si>
  <si>
    <t>Cód. Desc. 2</t>
  </si>
  <si>
    <t>Data Desc. 2</t>
  </si>
  <si>
    <t>Data do Desconto 2</t>
  </si>
  <si>
    <t>Desconto 2</t>
  </si>
  <si>
    <t>Desc3</t>
  </si>
  <si>
    <t>Cód. Desc. 3</t>
  </si>
  <si>
    <t>Data Desc. 3</t>
  </si>
  <si>
    <t>Desconto 3</t>
  </si>
  <si>
    <t>Multa</t>
  </si>
  <si>
    <t>Cód. Multa</t>
  </si>
  <si>
    <t>Data da Multa</t>
  </si>
  <si>
    <t>Valor/Percentual a Ser Aplicado</t>
  </si>
  <si>
    <t>Informação 3</t>
  </si>
  <si>
    <t>Informação 4</t>
  </si>
  <si>
    <t>Dados para Débito</t>
  </si>
  <si>
    <t xml:space="preserve">Conta Corrente </t>
  </si>
  <si>
    <t>Ident. da Emissão do Aviso Déb.</t>
  </si>
  <si>
    <t>Cód. Segmento do Registro Detalhe: "R"</t>
  </si>
  <si>
    <t>Data do Desconto 3: "00000000"</t>
  </si>
  <si>
    <t>Valor/Percentual a ser Concedido: "000000000000000"</t>
  </si>
  <si>
    <t>Cód. do Banco na Conta do Débito: "000"</t>
  </si>
  <si>
    <t>Código da Agência do Débito: "00000"</t>
  </si>
  <si>
    <t>Conta Corrente para Débito: "000000000000"</t>
  </si>
  <si>
    <t>Dígito Verificador da Conta: Brancos</t>
  </si>
  <si>
    <t>Dígito Verificador Ag/Conta: Brancos</t>
  </si>
  <si>
    <t>Aviso para Débito Automático: "0"</t>
  </si>
  <si>
    <t>REGISTRO DETALHE SEGMENTO S</t>
  </si>
  <si>
    <t>01.3S</t>
  </si>
  <si>
    <t>02.3S</t>
  </si>
  <si>
    <t>03.3S</t>
  </si>
  <si>
    <t>04.3S</t>
  </si>
  <si>
    <t>05.3S</t>
  </si>
  <si>
    <t>06.3S</t>
  </si>
  <si>
    <t>07.3S</t>
  </si>
  <si>
    <t>Para Tipo de Impressão 1 ou 2:</t>
  </si>
  <si>
    <t>08.3S</t>
  </si>
  <si>
    <t>09.3S</t>
  </si>
  <si>
    <t>10.3S</t>
  </si>
  <si>
    <t>11.3S</t>
  </si>
  <si>
    <t>12.3S</t>
  </si>
  <si>
    <t>Para Tipo de Impressão 3:</t>
  </si>
  <si>
    <t>13.3S</t>
  </si>
  <si>
    <t>14.3S</t>
  </si>
  <si>
    <t>Tipo de Impressão</t>
  </si>
  <si>
    <t>Nº da Linha</t>
  </si>
  <si>
    <t>Número da Linha a ser Impressa</t>
  </si>
  <si>
    <t>Mensagem</t>
  </si>
  <si>
    <t>Tipo de Fonte</t>
  </si>
  <si>
    <t>Tipo de caracter a ser impresso</t>
  </si>
  <si>
    <t>Informação 5</t>
  </si>
  <si>
    <t>Informação 6</t>
  </si>
  <si>
    <t>Informação 7</t>
  </si>
  <si>
    <t>Informação 8</t>
  </si>
  <si>
    <t>Informação 9</t>
  </si>
  <si>
    <t>Cód. Segmento do Registro Detalhe: "S"</t>
  </si>
  <si>
    <t>Identificação da Impressão:
'1'  =  Frente do Bloqueto
'2'  =  Verso do Bloqueto</t>
  </si>
  <si>
    <t>Identificação da Impressão:
'3'  =  Corpo de Instruções da Ficha de Compensação do Boleto</t>
  </si>
  <si>
    <t>REGISTRO TRAILLER DO LOTE</t>
  </si>
  <si>
    <t>01.5</t>
  </si>
  <si>
    <t>02.5</t>
  </si>
  <si>
    <t>03.5</t>
  </si>
  <si>
    <t>04.5</t>
  </si>
  <si>
    <t>05.5</t>
  </si>
  <si>
    <t>06.5</t>
  </si>
  <si>
    <t>07.5</t>
  </si>
  <si>
    <t>08.5</t>
  </si>
  <si>
    <t>09.5</t>
  </si>
  <si>
    <t>10.5</t>
  </si>
  <si>
    <t>11.5</t>
  </si>
  <si>
    <t>12.5</t>
  </si>
  <si>
    <t>13.5</t>
  </si>
  <si>
    <t>14.5</t>
  </si>
  <si>
    <t>15.5</t>
  </si>
  <si>
    <t>Nim</t>
  </si>
  <si>
    <t>Qtde de Registros</t>
  </si>
  <si>
    <t>Quantidade de Registros no Lote</t>
  </si>
  <si>
    <t>Totalização da Cobrança Simples</t>
  </si>
  <si>
    <t>Quantidade de Títulos em Cobrança</t>
  </si>
  <si>
    <t>Valor Total dosTítulos em Carteiras</t>
  </si>
  <si>
    <t>Totalização da Cobrança Vinculada</t>
  </si>
  <si>
    <t>Totalização da Cobrança Caucionada</t>
  </si>
  <si>
    <t>Quantidade de Títulos em Carteiras</t>
  </si>
  <si>
    <t>Totalização da Cobrança Descontada</t>
  </si>
  <si>
    <t>N. do Aviso</t>
  </si>
  <si>
    <t>Tipo de Registro: "5"</t>
  </si>
  <si>
    <t>Número do Aviso de Lançamento: Brancos</t>
  </si>
  <si>
    <t>REGISTRO TRAILLER DO ARQUIVO</t>
  </si>
  <si>
    <t>01.9</t>
  </si>
  <si>
    <t>02.9</t>
  </si>
  <si>
    <t>03.9</t>
  </si>
  <si>
    <t>04.9</t>
  </si>
  <si>
    <t>05.9</t>
  </si>
  <si>
    <t>06.9</t>
  </si>
  <si>
    <t>07.9</t>
  </si>
  <si>
    <t>08.9</t>
  </si>
  <si>
    <t>Totais</t>
  </si>
  <si>
    <t>Qtde. de Lotes</t>
  </si>
  <si>
    <t>Quantidade de Lotes do Arquivo</t>
  </si>
  <si>
    <t>Qtde. de Registros</t>
  </si>
  <si>
    <t>Quantidade de Registros do Arquivo</t>
  </si>
  <si>
    <t>Qtde. de Contas Concil.</t>
  </si>
  <si>
    <t>Tipo de Registro: "9"</t>
  </si>
  <si>
    <t>Qtde de Contas p/ Conc. (Lotes): "000000"</t>
  </si>
  <si>
    <t>LAYOUT DO ARQUIVO DE REMESSA - CNAB240</t>
  </si>
  <si>
    <t>Nº Dig</t>
  </si>
  <si>
    <t>Nº Dec</t>
  </si>
  <si>
    <t>Form</t>
  </si>
  <si>
    <t>Código do banco recebedor: Informado o prefixo de agência do banco recebedor. Quando este prefixo não for informado, o campo vem preenchido com zeros</t>
  </si>
  <si>
    <t>Prefixo da agência recebedora: Informado o prefixo de agência do banco recebedor. Quando este prefixo não for informado, o campo vem preenchido com zeros</t>
  </si>
  <si>
    <t>Data do crédito: formato ddmmaa</t>
  </si>
  <si>
    <t>Valor do abatimento</t>
  </si>
  <si>
    <t>Desconto concedido (diferença entre valor do título e valor recebido)</t>
  </si>
  <si>
    <t>Valor recebido (valor recebido parcial)</t>
  </si>
  <si>
    <t>A(25)</t>
  </si>
  <si>
    <t>A(50)</t>
  </si>
  <si>
    <t>A(30)</t>
  </si>
  <si>
    <t>A(08)</t>
  </si>
  <si>
    <t>A(212)</t>
  </si>
  <si>
    <t>Identificação do Registro Trailer: “9”</t>
  </si>
  <si>
    <t>Identificação do Tipo de Serviço: “02”</t>
  </si>
  <si>
    <t>Código da Cooperativa Remetente</t>
  </si>
  <si>
    <t>Sigla da Cooperativa Remetente</t>
  </si>
  <si>
    <t>Endereço da Cooperativa Remetente</t>
  </si>
  <si>
    <t>Bairro da Cooperativa Remetente</t>
  </si>
  <si>
    <t>CEP da Cooperativa Remetente</t>
  </si>
  <si>
    <t>Cidade da Cooperativa Remetente</t>
  </si>
  <si>
    <t>UF da Cooperativa Remetente</t>
  </si>
  <si>
    <t>Quantidade de registros no Detalhe</t>
  </si>
  <si>
    <t>Posição</t>
  </si>
  <si>
    <t>Nº</t>
  </si>
  <si>
    <t>De</t>
  </si>
  <si>
    <t>Até</t>
  </si>
  <si>
    <t>Dig</t>
  </si>
  <si>
    <t>Dec</t>
  </si>
  <si>
    <t>01.0</t>
  </si>
  <si>
    <t>Controle</t>
  </si>
  <si>
    <t>-</t>
  </si>
  <si>
    <t>Num</t>
  </si>
  <si>
    <t>02.0</t>
  </si>
  <si>
    <t>Lote</t>
  </si>
  <si>
    <t>03.0</t>
  </si>
  <si>
    <t>Registro</t>
  </si>
  <si>
    <t>04.0</t>
  </si>
  <si>
    <t>CNAB</t>
  </si>
  <si>
    <t>Alfa</t>
  </si>
  <si>
    <t>05.0</t>
  </si>
  <si>
    <t>Inscrição</t>
  </si>
  <si>
    <t>Tipo</t>
  </si>
  <si>
    <t>06.0</t>
  </si>
  <si>
    <t>Número</t>
  </si>
  <si>
    <t>Número de Inscrição da Empresa</t>
  </si>
  <si>
    <t>07.0</t>
  </si>
  <si>
    <t>Convênio</t>
  </si>
  <si>
    <t>08.0</t>
  </si>
  <si>
    <t>Agência</t>
  </si>
  <si>
    <t>Código</t>
  </si>
  <si>
    <t>09.0</t>
  </si>
  <si>
    <t>10.0</t>
  </si>
  <si>
    <t>Conta</t>
  </si>
  <si>
    <t>11.0</t>
  </si>
  <si>
    <t>12.0</t>
  </si>
  <si>
    <t>13.0</t>
  </si>
  <si>
    <t>Nome da Empresa</t>
  </si>
  <si>
    <t>14.0</t>
  </si>
  <si>
    <t>Nome do Banco</t>
  </si>
  <si>
    <t>15.0</t>
  </si>
  <si>
    <t xml:space="preserve">CNAB </t>
  </si>
  <si>
    <t>16.0</t>
  </si>
  <si>
    <t>17.0</t>
  </si>
  <si>
    <t>Data de Geração</t>
  </si>
  <si>
    <t>Data de Geração do Arquivo</t>
  </si>
  <si>
    <t>18.0</t>
  </si>
  <si>
    <t>Hora de Geração</t>
  </si>
  <si>
    <t>Hora de Geração do Arquivo</t>
  </si>
  <si>
    <t>19.0</t>
  </si>
  <si>
    <t>Seqüência (NSA)</t>
  </si>
  <si>
    <t>20.0</t>
  </si>
  <si>
    <t>Layout do Arquivo</t>
  </si>
  <si>
    <t>21.0</t>
  </si>
  <si>
    <t>Densidade</t>
  </si>
  <si>
    <t>22.0</t>
  </si>
  <si>
    <t>Reservado Banco</t>
  </si>
  <si>
    <t>23.0</t>
  </si>
  <si>
    <t>Reservado Empresa</t>
  </si>
  <si>
    <t>24.0</t>
  </si>
  <si>
    <t>Arquivo</t>
  </si>
  <si>
    <t>HEADER DO ARQUIVO</t>
  </si>
  <si>
    <t>¹</t>
  </si>
  <si>
    <t>²</t>
  </si>
  <si>
    <t>³</t>
  </si>
  <si>
    <t>Controle - Banco origem ou destino do arquivo.</t>
  </si>
  <si>
    <t>Campo / Descrição / Conteúdo</t>
  </si>
  <si>
    <t>Tipo de Inscrição da Empresa:
'1'  =  CPF
'2'  =  CGC / CNPJ</t>
  </si>
  <si>
    <t>Código do Sicoob na Compensação: "756"</t>
  </si>
  <si>
    <t>Lote de Serviço: "0000"</t>
  </si>
  <si>
    <t>Tipo de Registro: "0"</t>
  </si>
  <si>
    <t>Uso Exclusivo FEBRABAN / CNAB: Brancos</t>
  </si>
  <si>
    <t>Código do Convênio no Sicoob: Brancos</t>
  </si>
  <si>
    <r>
      <t>Controle</t>
    </r>
    <r>
      <rPr>
        <b/>
        <sz val="10"/>
        <rFont val="Arial"/>
        <family val="2"/>
      </rPr>
      <t>¹</t>
    </r>
  </si>
  <si>
    <r>
      <t>Empresa</t>
    </r>
    <r>
      <rPr>
        <b/>
        <sz val="10"/>
        <rFont val="Arial"/>
        <family val="2"/>
      </rPr>
      <t>²</t>
    </r>
  </si>
  <si>
    <r>
      <t>Conta Corrente</t>
    </r>
    <r>
      <rPr>
        <b/>
        <sz val="10"/>
        <rFont val="Arial"/>
        <family val="2"/>
      </rPr>
      <t>³</t>
    </r>
  </si>
  <si>
    <t>Nome do Banco: SICOOB</t>
  </si>
  <si>
    <t>Código Remessa / Retorno: "1"</t>
  </si>
  <si>
    <t>Número Seqüencial do Arquivo: Número seqüencial adotado e controlado pelo responsável pela geração do arquivo para ordenar a disposição dos arquivos encaminhados. Evoluir um número seqüencial a cada header de arquivo.</t>
  </si>
  <si>
    <r>
      <t>N</t>
    </r>
    <r>
      <rPr>
        <vertAlign val="superscript"/>
        <sz val="10"/>
        <rFont val="Arial"/>
        <family val="2"/>
      </rPr>
      <t>o</t>
    </r>
    <r>
      <rPr>
        <sz val="10"/>
        <rFont val="Arial"/>
        <family val="2"/>
      </rPr>
      <t xml:space="preserve"> da Versão do Layout do Arquivo: "081"</t>
    </r>
  </si>
  <si>
    <t>Densidade de Gravação do Arquivo: "00000"</t>
  </si>
  <si>
    <t>Para Uso Reservado do Banco: Brancos</t>
  </si>
  <si>
    <t>Para Uso Reservado da Empresa: Brancos</t>
  </si>
  <si>
    <t>HEADER DO LOTE</t>
  </si>
  <si>
    <t>01.1</t>
  </si>
  <si>
    <t>02.1</t>
  </si>
  <si>
    <t>03.1</t>
  </si>
  <si>
    <t>04.1</t>
  </si>
  <si>
    <t>05.1</t>
  </si>
  <si>
    <t>06.1</t>
  </si>
  <si>
    <t>07.1</t>
  </si>
  <si>
    <t>08.1</t>
  </si>
  <si>
    <t>09.1</t>
  </si>
  <si>
    <t>10.1</t>
  </si>
  <si>
    <t>11.1</t>
  </si>
  <si>
    <t>12.1</t>
  </si>
  <si>
    <t>13.1</t>
  </si>
  <si>
    <t>14.1</t>
  </si>
  <si>
    <t>15.1</t>
  </si>
  <si>
    <t>16.1</t>
  </si>
  <si>
    <t>17.1</t>
  </si>
  <si>
    <t>18.1</t>
  </si>
  <si>
    <t>19.1</t>
  </si>
  <si>
    <t>20.1</t>
  </si>
  <si>
    <t>21.1</t>
  </si>
  <si>
    <t>22.1</t>
  </si>
  <si>
    <t>23.1</t>
  </si>
  <si>
    <t>Serviço</t>
  </si>
  <si>
    <t>Operação</t>
  </si>
  <si>
    <t>Uso Exclusivo FEBRABAN/CNAB</t>
  </si>
  <si>
    <t>Layout do Lote</t>
  </si>
  <si>
    <t>Nº de Inscrição da Empresa</t>
  </si>
  <si>
    <t>C/C</t>
  </si>
  <si>
    <t>Informação 1</t>
  </si>
  <si>
    <t>Informação 2</t>
  </si>
  <si>
    <t>Controle da Cobrança</t>
  </si>
  <si>
    <t>Nº Rem./Ret.</t>
  </si>
  <si>
    <t>Dt. Gravação</t>
  </si>
  <si>
    <t>Data de Gravação Remessa/Retorno</t>
  </si>
  <si>
    <t>Data do Crédito</t>
  </si>
  <si>
    <t>Lote de Serviço: Número seqüencial para identificar univocamente um lote de serviço. Criado e controlado pelo responsável pela geração magnética dos dados contidos no arquivo.
Preencher com '0001' para o primeiro lote do arquivo. Para os demais: número do lote anterior acrescido de 1. O número não poderá ser repetido dentro do arquivo.</t>
  </si>
  <si>
    <t>Tipo de Registro: "1"</t>
  </si>
  <si>
    <t>Tipo de Operação: "R"</t>
  </si>
  <si>
    <t>Tipo de Serviço: "01"</t>
  </si>
  <si>
    <t>Uso Exclusivo FEBRABAN/CNAB: Brancos</t>
  </si>
  <si>
    <t>Nº da Versão do Layout do Lote: "040"</t>
  </si>
  <si>
    <t>Código do Convênio no Banco: Brancos</t>
  </si>
  <si>
    <t>Dígito Verificador da Ag/Conta: Brancos</t>
  </si>
  <si>
    <t>Data do Crédito: "00000000"</t>
  </si>
  <si>
    <t>01.3P</t>
  </si>
  <si>
    <t>02.3P</t>
  </si>
  <si>
    <t>03.3P</t>
  </si>
  <si>
    <t>04.3P</t>
  </si>
  <si>
    <t>05.3P</t>
  </si>
  <si>
    <t>06.3P</t>
  </si>
  <si>
    <t>07.3P</t>
  </si>
  <si>
    <t>08.3P</t>
  </si>
  <si>
    <t>09.3P</t>
  </si>
  <si>
    <t>10.3P</t>
  </si>
  <si>
    <t>11.3P</t>
  </si>
  <si>
    <t>12.3P</t>
  </si>
  <si>
    <t>13.3P</t>
  </si>
  <si>
    <t>14.3P</t>
  </si>
  <si>
    <t>15.3P</t>
  </si>
  <si>
    <t>16.3P</t>
  </si>
  <si>
    <t>17.3P</t>
  </si>
  <si>
    <t>18.3P</t>
  </si>
  <si>
    <t>19.3P</t>
  </si>
  <si>
    <t>20.3P</t>
  </si>
  <si>
    <t>21.3P</t>
  </si>
  <si>
    <t>22.3P</t>
  </si>
  <si>
    <t>23.3P</t>
  </si>
  <si>
    <t>24.3P</t>
  </si>
  <si>
    <t>25.3P</t>
  </si>
  <si>
    <t>26.3P</t>
  </si>
  <si>
    <t>27.3P</t>
  </si>
  <si>
    <t>28.3P</t>
  </si>
  <si>
    <t>29.3P</t>
  </si>
  <si>
    <t>30.3P</t>
  </si>
  <si>
    <t>31.3P</t>
  </si>
  <si>
    <t>32.3P</t>
  </si>
  <si>
    <t>33.3P</t>
  </si>
  <si>
    <t>34.3P</t>
  </si>
  <si>
    <t>35.3P</t>
  </si>
  <si>
    <t>36.3P</t>
  </si>
  <si>
    <t>37.3P</t>
  </si>
  <si>
    <t>38.3P</t>
  </si>
  <si>
    <t>39.3P</t>
  </si>
  <si>
    <t>40.3P</t>
  </si>
  <si>
    <t>41.3P</t>
  </si>
  <si>
    <t>42.3P</t>
  </si>
  <si>
    <t>Nº do Registro</t>
  </si>
  <si>
    <t>Segmento</t>
  </si>
  <si>
    <t>Cód. Mov.</t>
  </si>
  <si>
    <t>Cadastramento</t>
  </si>
  <si>
    <t>Documento</t>
  </si>
  <si>
    <t>Nº do Documento</t>
  </si>
  <si>
    <t>Data de Vencimento do Título</t>
  </si>
  <si>
    <t>Valor do Título</t>
  </si>
  <si>
    <t>Valor Nominal do Título</t>
  </si>
  <si>
    <t>Ag. Cobradora</t>
  </si>
  <si>
    <t>Espécie de Título</t>
  </si>
  <si>
    <t>Aceite</t>
  </si>
  <si>
    <t>Data Emissão do Título</t>
  </si>
  <si>
    <t>Data da Emissão do Título</t>
  </si>
  <si>
    <t>Juros</t>
  </si>
  <si>
    <t>Cód. Juros Mora</t>
  </si>
  <si>
    <t xml:space="preserve">Data Juros Mora </t>
  </si>
  <si>
    <t>Data do Juros de Mora</t>
  </si>
  <si>
    <t>Juros Mora</t>
  </si>
  <si>
    <t>Desc 1</t>
  </si>
  <si>
    <t>Cód. Desc. 1</t>
  </si>
  <si>
    <t>Data Desc. 1</t>
  </si>
  <si>
    <t>Data do Desconto 1</t>
  </si>
  <si>
    <t>Desconto 1</t>
  </si>
  <si>
    <t>Valor/Percentual a ser Concedido</t>
  </si>
  <si>
    <t>Vlr IOF</t>
  </si>
  <si>
    <t>Valor do IOF a ser Recolhido</t>
  </si>
  <si>
    <t>Vlr Abatimento</t>
  </si>
  <si>
    <t>Valor do Abatimento</t>
  </si>
  <si>
    <t>Código p/ Protesto</t>
  </si>
  <si>
    <t>Prazo p/ Protesto</t>
  </si>
  <si>
    <t>DV Cod Barras</t>
  </si>
  <si>
    <t>Data de Vencimento*</t>
  </si>
  <si>
    <t>* Se a data de vencimento for contra apresentação este campo não deverá
ser preenchido.</t>
  </si>
  <si>
    <t>01.3T</t>
  </si>
  <si>
    <t>02.3T</t>
  </si>
  <si>
    <t>03.3T</t>
  </si>
  <si>
    <t>04.3T</t>
  </si>
  <si>
    <t>05.3T</t>
  </si>
  <si>
    <t>06.3T</t>
  </si>
  <si>
    <t>07.3T</t>
  </si>
  <si>
    <t>08.3T</t>
  </si>
  <si>
    <t>09.3T</t>
  </si>
  <si>
    <t>10.3T</t>
  </si>
  <si>
    <t>11.3T</t>
  </si>
  <si>
    <t>12.3T</t>
  </si>
  <si>
    <t>13.3T</t>
  </si>
  <si>
    <t>14.3T</t>
  </si>
  <si>
    <t>15.3T</t>
  </si>
  <si>
    <t>16.3T</t>
  </si>
  <si>
    <t>17.3T</t>
  </si>
  <si>
    <t>18.3T</t>
  </si>
  <si>
    <t>Banco Cobr./Receb.</t>
  </si>
  <si>
    <t>19.3T</t>
  </si>
  <si>
    <t>20.3T</t>
  </si>
  <si>
    <t>21.3T</t>
  </si>
  <si>
    <t>22.3T</t>
  </si>
  <si>
    <t>23.3T</t>
  </si>
  <si>
    <t>24.3T</t>
  </si>
  <si>
    <t>25.3T</t>
  </si>
  <si>
    <t>26.3T</t>
  </si>
  <si>
    <t>27.3T</t>
  </si>
  <si>
    <t>Valor da Tar./Custas</t>
  </si>
  <si>
    <t>Valor da Tarifa / Custas</t>
  </si>
  <si>
    <t>28.3T</t>
  </si>
  <si>
    <t>Motivo da Ocorrência</t>
  </si>
  <si>
    <t>29.3T</t>
  </si>
  <si>
    <t>REGISTRO DETALHE SEGMENTO T</t>
  </si>
  <si>
    <t>Código Remessa / Retorno: "2"</t>
  </si>
  <si>
    <t>Nº Sequencial do Registro no Lote: Número adotado e controlado pelo responsável pela geração magnética dos dados contidos no arquivo, para identificar a seqüência de registros encaminhados no lote. Deve ser inicializado sempre em '1', em cada novo lote.</t>
  </si>
  <si>
    <t>Código adotado pelo Banco responsável pela conta, para identificar a qual unidade está vinculada a conta corrente.</t>
  </si>
  <si>
    <t>Número do Documento de Cobrança: Número adotado e controlado pelo Cliente, para identificar o título de cobrança. Informação utilizada pelo Sicoob para referenciar a identificação do documento objeto de cobrança. Poderá conter número de duplicata, no caso de cobrança de duplicatas; número da apólice, no caso de cobrança de seguros, etc</t>
  </si>
  <si>
    <t>Número do Banco Cobrador / Recebedor: Só será informado nos casos de cobrança / liquidação em outros bancos.</t>
  </si>
  <si>
    <t xml:space="preserve"> </t>
  </si>
  <si>
    <t>Dígito Verificador da Agência Recebedora.</t>
  </si>
  <si>
    <t>Identificação do Título na Empresa</t>
  </si>
  <si>
    <t>Código adotado pela FEBRABAN para identificar as ocorrências (rejeições, tarifas, custas,
liquidação e baixas) em registros detalhe de títulos de cobrança. Poderão ser informados
até cinco ocorrências distintas, incidente sobre o título.</t>
  </si>
  <si>
    <t>REGISTRO DETALHE SEGMENTO U</t>
  </si>
  <si>
    <t>01.3U</t>
  </si>
  <si>
    <t>02.3U</t>
  </si>
  <si>
    <t>03.3U</t>
  </si>
  <si>
    <t>04.3U</t>
  </si>
  <si>
    <t>05.3U</t>
  </si>
  <si>
    <t>06.3U</t>
  </si>
  <si>
    <t>07.3U</t>
  </si>
  <si>
    <t>08.3U</t>
  </si>
  <si>
    <t>09.3U</t>
  </si>
  <si>
    <t>10.3U</t>
  </si>
  <si>
    <t>11.3U</t>
  </si>
  <si>
    <t>12.3U</t>
  </si>
  <si>
    <t>13.3U</t>
  </si>
  <si>
    <t>14.3U</t>
  </si>
  <si>
    <t>15.3U</t>
  </si>
  <si>
    <t>16.3U</t>
  </si>
  <si>
    <t>17.3U</t>
  </si>
  <si>
    <t>18.3U</t>
  </si>
  <si>
    <t>19.3U</t>
  </si>
  <si>
    <t>20.3U</t>
  </si>
  <si>
    <t>21.3U</t>
  </si>
  <si>
    <t>22.3U</t>
  </si>
  <si>
    <t>23.3U</t>
  </si>
  <si>
    <t>24.3U</t>
  </si>
  <si>
    <t>Dados do Título</t>
  </si>
  <si>
    <t>Outras Despesas</t>
  </si>
  <si>
    <t>Outros Créditos</t>
  </si>
  <si>
    <t>Data da Ocorrência</t>
  </si>
  <si>
    <t>Código de Movimento Retorno</t>
  </si>
  <si>
    <t>Acréscimos</t>
  </si>
  <si>
    <t>Data Ocorrência</t>
  </si>
  <si>
    <t>Valor Ocorrência</t>
  </si>
  <si>
    <t>Compl. da Ocorrência</t>
  </si>
  <si>
    <t>Código do Banco Correspondente</t>
  </si>
  <si>
    <t>N Número Banco Correspondnete</t>
  </si>
  <si>
    <t>Valor dos Juros / Multa / Encargos: Valor dos acréscimos efetuados no título de cobrança, expresso em moeda corrente.</t>
  </si>
  <si>
    <t>Valor dos abatimentos efetuados ou cancelados no título de cobrança, expresso em moeda corrente.</t>
  </si>
  <si>
    <t>Valor dos descontos efetuados no título de cobrança, expresso em moeda corrente.</t>
  </si>
  <si>
    <t>Desconto</t>
  </si>
  <si>
    <t>Abatimento</t>
  </si>
  <si>
    <t>IOF</t>
  </si>
  <si>
    <t>Valor do IOF - Imposto sobre Operações Financeiras - recolhido sobre o Título, expresso
em moeda corrente.</t>
  </si>
  <si>
    <t>Valor Pago</t>
  </si>
  <si>
    <t>Valor efetivo a ser creditado referente ao Título, expresso em moeda corrente.</t>
  </si>
  <si>
    <t>Valor Líquido</t>
  </si>
  <si>
    <t>Valor efetivo de despesas referente ao título de cobrança, expresso em moeda corrente.</t>
  </si>
  <si>
    <t>Valor efetivo de créditos referente ao título de cobrança, expresso em moeda corrente.</t>
  </si>
  <si>
    <t>Data do evento que afeta o estado do título de cobrança.
Utilizar o formato DDMMAAAA, onde:
DD = dia
MM = mês
AAAA = ano</t>
  </si>
  <si>
    <t>Brancos</t>
  </si>
  <si>
    <t>Valor da Ocorrência: "000000000000000"</t>
  </si>
  <si>
    <t>Data Ocorrência:" 00000000"</t>
  </si>
  <si>
    <t>Código fornecido pelo Banco Correspondente para identificação do Título de Cobrança.</t>
  </si>
  <si>
    <t xml:space="preserve">
Serviço</t>
  </si>
  <si>
    <t>Mensagem 4: Texto de observações destinado ao envio de mensagens livres, a serem impressas no campo de instruções da ficha de compensação do bloqueto.
As Mensagens 3 e 4 prevalecem sobre as mensagens 1 e 2.</t>
  </si>
  <si>
    <t>Mensagem 3: Texto de observações destinado ao envio de mensagens livres, a serem impressas no campo de instruções da ficha de compensação do bloqueto.
As Mensagens 3 e 4 prevalecem sobre as mensagens 1 e 2.</t>
  </si>
  <si>
    <t>Mensagem 5: Texto de observações destinado ao envio de mensagens livres, a serem impressas no campo de instruções da ficha de compensação do bloqueto.
As mensagens 5 à 9 prevalecem sobre as anteriores.</t>
  </si>
  <si>
    <t>Mensagem 6: Texto de observações destinado ao envio de mensagens livres, a serem impressas no campo de instruções da ficha de compensação do bloqueto.
As mensagens 5 à 9 prevalecem sobre as anteriores.</t>
  </si>
  <si>
    <t>Mensagem 7: Texto de observações destinado ao envio de mensagens livres, a serem impressas no campo de instruções da ficha de compensação do bloqueto.
As mensagens 5 à 9 prevalecem sobre as anteriores.</t>
  </si>
  <si>
    <t>Mensagem 8: Texto de observações destinado ao envio de mensagens livres, a serem impressas no campo de instruções da ficha de compensação do bloqueto.
As mensagens 5 à 9 prevalecem sobre as anteriores.</t>
  </si>
  <si>
    <t>Mensagem 9: Texto de observações destinado ao envio de mensagens livres, a serem impressas no campo de instruções da ficha de compensação do bloqueto.
As mensagens 5 à 9 prevalecem sobre as anteriores.</t>
  </si>
  <si>
    <t>06. Retorno CNAB240:</t>
  </si>
  <si>
    <t>07. Pré-homologação de boletos</t>
  </si>
  <si>
    <t>08. Funções em Delphi:</t>
  </si>
  <si>
    <t>Layout do arquivo de retorno no layout CNAB240 da FEBRABAN</t>
  </si>
  <si>
    <t>LAYOUT DO ARQUIVO DE RETORNO - CNAB240</t>
  </si>
  <si>
    <t>Tipo de Operação: "T"</t>
  </si>
  <si>
    <t>Nº da Versão do Layout do Lote: "044"</t>
  </si>
  <si>
    <t>Mensagem 1: Estes campos não serão utilizados no arquivo retorno.</t>
  </si>
  <si>
    <t>Data do Crédito: Data de efetivação do crédito referente ao pagamento do título de cobrança. Informação enviada somente no arquivo de retorno.
Utilizar o formato DDMMAAAA, onde:
DD         =  dia 
MM        =  mês
AAAA   =  ano</t>
  </si>
  <si>
    <t xml:space="preserve">Quantidade de Registros no Lote: </t>
  </si>
  <si>
    <t>Mensagem 2: Estes campos não serão utilizados no arquivo retorno.</t>
  </si>
  <si>
    <t>Identificação por Extenso do Tipo de Serviço: “COBRANÇA”</t>
  </si>
  <si>
    <r>
      <t>Cód. Segmento do Registro Detalhe: "</t>
    </r>
    <r>
      <rPr>
        <b/>
        <sz val="10"/>
        <rFont val="Arial"/>
        <family val="2"/>
      </rPr>
      <t>U</t>
    </r>
    <r>
      <rPr>
        <sz val="10"/>
        <rFont val="Arial"/>
        <family val="2"/>
      </rPr>
      <t>"</t>
    </r>
  </si>
  <si>
    <t>Cód. Segmento do Registro Detalhe: " U "</t>
  </si>
  <si>
    <t>Preencher com '9999'.</t>
  </si>
  <si>
    <t>Preencher com '9999'</t>
  </si>
  <si>
    <t>Identificação do Tipo de Serviço: “01”</t>
  </si>
  <si>
    <r>
      <t xml:space="preserve">Espécie do Título :
01 = Duplicata Mercantil
02 = Nota Promissória
03 = Nota de Seguro
05 = Recibo
06 = Duplicata Rural
08 </t>
    </r>
    <r>
      <rPr>
        <sz val="10"/>
        <rFont val="Arial"/>
        <family val="2"/>
      </rPr>
      <t>= Letra de Câmbio
09 = Warrant
10 = Cheque
12 = Duplicata de Serviço
13 = Nota de Débito
14 = Triplicata Mercantil
15 = Triplicata de Serviço
18 = Fatura
20 = Apólice de Seguro
21 = Mensalidade Escolar
22 = Parcela de Consórcio
99 = Outros</t>
    </r>
  </si>
  <si>
    <t>Código de Baixa/Recusa</t>
  </si>
  <si>
    <t>Data do movimento: formato ddmmaaaa</t>
  </si>
  <si>
    <t>Prefixo do Título: Informa Espécie do Título
DM = Duplicata Mercantil
CH = Cheque
DS = Duplicata de Serviço
PC  = Parcela de Consórcio
OU = Outros</t>
  </si>
  <si>
    <t>Recomendações para Implantação:</t>
  </si>
  <si>
    <t>Destina-se a orientar o associado, qual dos Layouts abaixo irá melhor atender as necessidades na implantação do serviço de cobrança bancária.</t>
  </si>
  <si>
    <t>Tipo Distribuição
1 – Cooperativa
2 - Cliente</t>
  </si>
  <si>
    <t>Número do Contrato Garantia:                                                                                                                                                                                                                                                                     Para Carteira 1 preencher "00000";
Para Carteira 3 preencher com o  número do contrato sem DV.</t>
  </si>
  <si>
    <t>DV do contrato:                                                                                                                                                                                                                                                                     Para Carteira 1 preencher "0";
Para Carteira 3 preencher com o Dígito Verificador.</t>
  </si>
  <si>
    <t>Primeira instrução codificada:
Regras de impressão de mensagens nos boletos:
* Primeira instrução (SEQ 34) = 00 e segunda (SEQ 35) = 00, não imprime nada.
* Primeira instrução (SEQ 34) = 01 e segunda (SEQ 35) = 01, desconsidera-se as instruções CNAB e imprime as mensagens relatadas no trailler do arquivo.
* Primeira e segunda instrução diferente das situações acima, imprimimos o conteúdo CNAB:
  00 = AUSENCIA DE INSTRUCOES
  01 = COBRAR JUROS
  03 = PROTESTAR 3 DIAS UTEIS APOS VENCIMENTO
  04 = PROTESTAR 4 DIAS UTEIS APOS VENCIMENTO
  05 = PROTESTAR 5 DIAS UTEIS APOS VENCIMENTO
  07 = NAO PROTESTAR
  10 = PROTESTAR 10 DIAS UTEIS APOS VENCIMENTO
  15 = PROTESTAR 15 DIAS UTEIS APOS VENCIMENTO
  20 = PROTESTAR 20 DIAS UTEIS APOS VENCIMENTO
  22 = CONCEDER DESCONTO SO ATE DATA ESTIPULADA
  42 = DEVOLVER APOS 15 DIAS VENCIDO
  43 = DEVOLVER APOS 30 DIAS VENCIDO</t>
  </si>
  <si>
    <t xml:space="preserve">193-193 – Código da moeda
194-205 – Valor IOF / Quantidade Monetária: "000000000000"
Se o código da moeda for REAL, o valor restante representa o IOF. Se o código da moeda for diferente de REAL, o valor restante será a quantidade monetária.    </t>
  </si>
  <si>
    <t>Taxa de mora mês 
Ex: 022000 = 2,20%)</t>
  </si>
  <si>
    <t>Taxa de multa
Ex: 022000 = 2,20%)</t>
  </si>
  <si>
    <r>
      <t>Data Vencimento: Formato DDMMAA
Normal "</t>
    </r>
    <r>
      <rPr>
        <b/>
        <sz val="10"/>
        <rFont val="Arial"/>
        <family val="2"/>
      </rPr>
      <t>DDMMAA</t>
    </r>
    <r>
      <rPr>
        <sz val="10"/>
        <rFont val="Arial"/>
        <family val="2"/>
      </rPr>
      <t>"
A vista = "</t>
    </r>
    <r>
      <rPr>
        <b/>
        <sz val="10"/>
        <rFont val="Arial"/>
        <family val="2"/>
      </rPr>
      <t>888888</t>
    </r>
    <r>
      <rPr>
        <sz val="10"/>
        <rFont val="Arial"/>
        <family val="2"/>
      </rPr>
      <t>"
Contra Apresentação = "</t>
    </r>
    <r>
      <rPr>
        <b/>
        <sz val="10"/>
        <rFont val="Arial"/>
        <family val="2"/>
      </rPr>
      <t>999999</t>
    </r>
    <r>
      <rPr>
        <sz val="10"/>
        <rFont val="Arial"/>
        <family val="2"/>
      </rPr>
      <t>"</t>
    </r>
  </si>
  <si>
    <t>0001-9</t>
  </si>
  <si>
    <t>2016-8</t>
  </si>
  <si>
    <t>2017-6</t>
  </si>
  <si>
    <t>3367-7</t>
  </si>
  <si>
    <t>4298-6</t>
  </si>
  <si>
    <t>4483-0</t>
  </si>
  <si>
    <t>4484-9</t>
  </si>
  <si>
    <t>4485-7</t>
  </si>
  <si>
    <t>4486-5</t>
  </si>
  <si>
    <t>4487-3</t>
  </si>
  <si>
    <t>4488-1</t>
  </si>
  <si>
    <t>4489-0</t>
  </si>
  <si>
    <t>4490-3</t>
  </si>
  <si>
    <t>4491-1</t>
  </si>
  <si>
    <t>4492-0</t>
  </si>
  <si>
    <t>4493-8</t>
  </si>
  <si>
    <t>5005-9</t>
  </si>
  <si>
    <t>5015-6</t>
  </si>
  <si>
    <t>5025-3</t>
  </si>
  <si>
    <t>5033-4</t>
  </si>
  <si>
    <t>5035-0</t>
  </si>
  <si>
    <t>5043-1</t>
  </si>
  <si>
    <t>5045-8</t>
  </si>
  <si>
    <t>5055-5</t>
  </si>
  <si>
    <t>5065-2</t>
  </si>
  <si>
    <t>5921-8</t>
  </si>
  <si>
    <t>5951-0</t>
  </si>
  <si>
    <t>SICOOB CENTRAL ES</t>
  </si>
  <si>
    <t>SICOOB CENTRAL BA</t>
  </si>
  <si>
    <t>SICOOB CENTRAL CREDIMINAS</t>
  </si>
  <si>
    <t>SICOOB GOIÁS CENTRAL</t>
  </si>
  <si>
    <t>SICOOB CENTRAL SC</t>
  </si>
  <si>
    <t>SICOOB SP</t>
  </si>
  <si>
    <t>SICOOB NORTE</t>
  </si>
  <si>
    <t>FEDERALCRED CENTRAL</t>
  </si>
  <si>
    <t>SICOOB CENTRAL DF</t>
  </si>
  <si>
    <t>CECRESTE</t>
  </si>
  <si>
    <t>SICOOB CENTRAL CECREMGE</t>
  </si>
  <si>
    <t>SICOOB CENTRAL RJ</t>
  </si>
  <si>
    <t>SICOOB CENTRAL CECRESP</t>
  </si>
  <si>
    <t>SICOOB CENTRAL AMAZÔNIA</t>
  </si>
  <si>
    <t>SICOOB CENTRAL NE</t>
  </si>
  <si>
    <t>SICOOB CENTRAL MT/MS</t>
  </si>
  <si>
    <t>SICOOB CENTRAL PARANÁ</t>
  </si>
  <si>
    <t>CECRERS</t>
  </si>
  <si>
    <t>CECRED</t>
  </si>
  <si>
    <t>UNICRED CENTRAL MG</t>
  </si>
  <si>
    <t>UNICRED CENTRAL SÃO PAULO</t>
  </si>
  <si>
    <t>UNICRED CENTRAL SC</t>
  </si>
  <si>
    <t>UNICRED BRASIL CENTRAL</t>
  </si>
  <si>
    <t>SICOOB CENTRAL RIO</t>
  </si>
  <si>
    <t>UNICRED CENTRAL RJ</t>
  </si>
  <si>
    <t>2018-4</t>
  </si>
  <si>
    <t>UNICRED CENTRAL RS</t>
  </si>
  <si>
    <t>SICOOB SUL- LITORÂNEO</t>
  </si>
  <si>
    <t>SICOOB AFONSO CLAUDI</t>
  </si>
  <si>
    <t>SICOOB SUL</t>
  </si>
  <si>
    <t>SICOOB GUAÇUÍ</t>
  </si>
  <si>
    <t>SICOOB ITAGUAÇU</t>
  </si>
  <si>
    <t>SICOOB CENTRO-NORTE</t>
  </si>
  <si>
    <t>SICOOB LESTE CAPIXABA</t>
  </si>
  <si>
    <t>SICOOB CENTRO-SERRANO</t>
  </si>
  <si>
    <t>SICOOB SUL-SERRANO</t>
  </si>
  <si>
    <t>CREDI-COFABA</t>
  </si>
  <si>
    <t>SICOOB-OESTE</t>
  </si>
  <si>
    <t>SICOOB -CREDILHÉUS</t>
  </si>
  <si>
    <t>SICOOB CREDIB</t>
  </si>
  <si>
    <t>SICOOB COOPERE</t>
  </si>
  <si>
    <t>COPERCUR</t>
  </si>
  <si>
    <t>SICOOB COPELBA</t>
  </si>
  <si>
    <t>SICOOB COOPERBOM</t>
  </si>
  <si>
    <t>SICOOB COSTA DO DESCOBRIMENTO</t>
  </si>
  <si>
    <t>SICOOB-CREDILAPA</t>
  </si>
  <si>
    <t>SICOOB CREDITE</t>
  </si>
  <si>
    <t>SICOOB ARACI</t>
  </si>
  <si>
    <t>SICOOB SERTÃO</t>
  </si>
  <si>
    <t>SICOOB ITANHÉM</t>
  </si>
  <si>
    <t>SICOOB CREDIRIODOCE</t>
  </si>
  <si>
    <t>SICOOB CREDICANOINHAS/SC</t>
  </si>
  <si>
    <t>SICOOB CREDIAL/SC</t>
  </si>
  <si>
    <t>SICOOB CREDIRIO SC</t>
  </si>
  <si>
    <t>SICOOB ALTO VALE</t>
  </si>
  <si>
    <t>SICOOB/SC CREDINORTE</t>
  </si>
  <si>
    <t>SICOOB PINHALZINHO/SC</t>
  </si>
  <si>
    <t>SICOOB VIDEIRA/SC</t>
  </si>
  <si>
    <t>SICOOB CAÇADOR/SC</t>
  </si>
  <si>
    <t>SICOOB SÃO MIGUEL SC</t>
  </si>
  <si>
    <t>CREDISAN</t>
  </si>
  <si>
    <t>SICOOB COOPECREDI</t>
  </si>
  <si>
    <t>SICOOB AGRORURAL</t>
  </si>
  <si>
    <t>SICOOB CENTRO-SUL</t>
  </si>
  <si>
    <t>SICOOB NOSSACREDIAL</t>
  </si>
  <si>
    <t>SICOOB CARLOS CHAGAS</t>
  </si>
  <si>
    <t>SICOOB CREDIJEQUITINHONHA</t>
  </si>
  <si>
    <t>SICOOB CREDICOPE</t>
  </si>
  <si>
    <t>SICOOB CREDILIVRE</t>
  </si>
  <si>
    <t>SICOOB CREDINORTE</t>
  </si>
  <si>
    <t>CREDIPISO</t>
  </si>
  <si>
    <t>SICOOB LESTE</t>
  </si>
  <si>
    <t>SICOOB CREDIVALE</t>
  </si>
  <si>
    <t>SICOOB CREDI-RURAL</t>
  </si>
  <si>
    <t>SICOOB COOPERCRED</t>
  </si>
  <si>
    <t>SICOOB MINEIROS</t>
  </si>
  <si>
    <t>SICOOB BELA VISTA</t>
  </si>
  <si>
    <t>SICOOB CREDIGOIÁS</t>
  </si>
  <si>
    <t>SICOOB DO VALE</t>
  </si>
  <si>
    <t>SICOOB PALMEIRAS</t>
  </si>
  <si>
    <t>SICOOB CREDIFORTE</t>
  </si>
  <si>
    <t>SICOOB CREDISAÚDE</t>
  </si>
  <si>
    <t>CREDIGOIAS-SUL</t>
  </si>
  <si>
    <t>SICOOB GOIÂNIA</t>
  </si>
  <si>
    <t>SICOOB VALCREDI/SC</t>
  </si>
  <si>
    <t>SICOOB - CREDIAUC/SC</t>
  </si>
  <si>
    <t>SICOOB - OESTECREDI/SC</t>
  </si>
  <si>
    <t>SICOOB MAXICRÉDITO/SC</t>
  </si>
  <si>
    <t>SICOOB/SC CREDIJA</t>
  </si>
  <si>
    <t>SICOOB CREDICAMPOS SC</t>
  </si>
  <si>
    <t>SICOOB CREDITAPIRANGA SC</t>
  </si>
  <si>
    <t>CREDILUCIA</t>
  </si>
  <si>
    <t>SICOOB CREDISULCA SC</t>
  </si>
  <si>
    <t>SICOOB CREDIMOC SC</t>
  </si>
  <si>
    <t>SICOOB NOROESTE SC</t>
  </si>
  <si>
    <t>CREDIQUILOMBO</t>
  </si>
  <si>
    <t>SICOOB CREDIVALE/SC</t>
  </si>
  <si>
    <t>SICOOB/SC CREDICANOAS</t>
  </si>
  <si>
    <t>SICOOB CREDICARU SC</t>
  </si>
  <si>
    <t>CREDILUZ</t>
  </si>
  <si>
    <t>CREDICONTESTADO</t>
  </si>
  <si>
    <t>SICOOB CREDIPLANALTO SC</t>
  </si>
  <si>
    <t>SICOOB/SC - CREDTEC</t>
  </si>
  <si>
    <t>SICOOB/SC CREDIPÉROLA</t>
  </si>
  <si>
    <t>SICOOB/SC CREDISERRA</t>
  </si>
  <si>
    <t>SICOOB CREDIOESTE</t>
  </si>
  <si>
    <t>SICOOB CREDIALÉM</t>
  </si>
  <si>
    <t>SICOOB CREDIALP</t>
  </si>
  <si>
    <t>SICOOB COOPEROSA</t>
  </si>
  <si>
    <t>SICOOB ARACREDI</t>
  </si>
  <si>
    <t>SICOOB CREDIARA</t>
  </si>
  <si>
    <t>SICOOB UNIÃO CENTRO OESTE</t>
  </si>
  <si>
    <t>SICOOB CREDIBAM</t>
  </si>
  <si>
    <t>CREDIBEL</t>
  </si>
  <si>
    <t>SICOOB BELCREDI</t>
  </si>
  <si>
    <t>SICOOB CREDIBOM</t>
  </si>
  <si>
    <t>SICOOB CREDISUCESSO</t>
  </si>
  <si>
    <t>SICOOB CREDICAMPINA</t>
  </si>
  <si>
    <t>SICOOB CREDIBELO</t>
  </si>
  <si>
    <t>SICOOB CREDIAGRO</t>
  </si>
  <si>
    <t>SICOOB CREDCAM</t>
  </si>
  <si>
    <t>SICOOB CREDICAPI</t>
  </si>
  <si>
    <t>SICOOB CARMOCREDI</t>
  </si>
  <si>
    <t>SICOOB CREDICARPA</t>
  </si>
  <si>
    <t>SICOOB CREDICARMO</t>
  </si>
  <si>
    <t>SICOOB CREDICARMOMINAS</t>
  </si>
  <si>
    <t>SICOOB CREDICÁSSIA</t>
  </si>
  <si>
    <t>SICOOB CREDICENTRO</t>
  </si>
  <si>
    <t>SICOOB CREDIVERDE</t>
  </si>
  <si>
    <t>SICOOB CREDINDAIÁ</t>
  </si>
  <si>
    <t>CREDIRIVER</t>
  </si>
  <si>
    <t>SICOOB CREDICAMPO</t>
  </si>
  <si>
    <t>SICOOB CREDIESMERALDAS</t>
  </si>
  <si>
    <t>SICOOB CREDIVAP</t>
  </si>
  <si>
    <t>SICOOB CREDIFOR</t>
  </si>
  <si>
    <t>SICOOB FRUTAL</t>
  </si>
  <si>
    <t>SICOOB CREDIGUAPÉ</t>
  </si>
  <si>
    <t>SICOOB RURALCREDI</t>
  </si>
  <si>
    <t>SICOOB GUARANICREDI</t>
  </si>
  <si>
    <t>CREDIMOR</t>
  </si>
  <si>
    <t>SICOOB AGROCREDI</t>
  </si>
  <si>
    <t>SICOOB CREDITAMA</t>
  </si>
  <si>
    <t>CREDILICÍNEA</t>
  </si>
  <si>
    <t>SICOOB CREDIMIL</t>
  </si>
  <si>
    <t>CREDITA</t>
  </si>
  <si>
    <t>SICOOB ITAPAGIPE</t>
  </si>
  <si>
    <t>SICOOB CREDIUNA</t>
  </si>
  <si>
    <t>SICOOB CREDIPONTAL</t>
  </si>
  <si>
    <t>SICOOB CREDIVAG</t>
  </si>
  <si>
    <t>SICOOB CREDIPINHO</t>
  </si>
  <si>
    <t>SICOOB CREDIPRATA</t>
  </si>
  <si>
    <t>SICOOB CREDICAF</t>
  </si>
  <si>
    <t>CREDIGRANDE</t>
  </si>
  <si>
    <t>SICOOB CREDILEO</t>
  </si>
  <si>
    <t>SICOOB CREDILUZ</t>
  </si>
  <si>
    <t>SICOOB CREDIMAC</t>
  </si>
  <si>
    <t>CREDIMAM</t>
  </si>
  <si>
    <t>SICOOB MONTECREDI</t>
  </si>
  <si>
    <t>SICOOB CREDINOR</t>
  </si>
  <si>
    <t>SICOOB SÃO FRANCISCO</t>
  </si>
  <si>
    <t>SICOOB CREDIMUR</t>
  </si>
  <si>
    <t>CREDICERES</t>
  </si>
  <si>
    <t>CREDIOLIVA</t>
  </si>
  <si>
    <t>SICOOB CREDIPAINS</t>
  </si>
  <si>
    <t>CREDIRURAL</t>
  </si>
  <si>
    <t>SICOOB CREDIPARAOPEBA</t>
  </si>
  <si>
    <t>SICOOB CREDIPATOS</t>
  </si>
  <si>
    <t>SICOOB COOPACREDI</t>
  </si>
  <si>
    <t>SICOOB CREDIPEL</t>
  </si>
  <si>
    <t>SICOOB CREDIPIMENTA</t>
  </si>
  <si>
    <t>SICOOB CREDICOOP</t>
  </si>
  <si>
    <t>CAFECREDI</t>
  </si>
  <si>
    <t>SICOOB CREDIPÉU</t>
  </si>
  <si>
    <t>SICOOB COPERCREDI</t>
  </si>
  <si>
    <t>CREDICOOPRATA</t>
  </si>
  <si>
    <t>SICOOB UNIÃO</t>
  </si>
  <si>
    <t>SICOOB CREDICOASA</t>
  </si>
  <si>
    <t>SICOOB CREDIMONTE</t>
  </si>
  <si>
    <t>SICOOB CREDICOOPERTRIL</t>
  </si>
  <si>
    <t>SICOOB CREDISÃOGONÇALO</t>
  </si>
  <si>
    <t>SICOOB CREDIVASS</t>
  </si>
  <si>
    <t>CREDIMATA</t>
  </si>
  <si>
    <t>SICOOB SAROMCREDI</t>
  </si>
  <si>
    <t>SICOOB NOSSOCRÉDITO</t>
  </si>
  <si>
    <t>SICOOB CREDIVERTENTES</t>
  </si>
  <si>
    <t>SICOOB CREDISAVI</t>
  </si>
  <si>
    <t>SICOOB CREDISETE</t>
  </si>
  <si>
    <t>SICOOB CREDITIROS</t>
  </si>
  <si>
    <t>SICOOB COPERSUL</t>
  </si>
  <si>
    <t>SICOOB UBERABA</t>
  </si>
  <si>
    <t>SICOOB NOROESTE DE MINAS</t>
  </si>
  <si>
    <t>SICOOB CREDIVAR</t>
  </si>
  <si>
    <t>SICOOB CREDIVAZ</t>
  </si>
  <si>
    <t>SICOOB CREDIMATA</t>
  </si>
  <si>
    <t>SICOOB COCREALPA</t>
  </si>
  <si>
    <t>CREDICENTRO</t>
  </si>
  <si>
    <t>CREDICANA</t>
  </si>
  <si>
    <t>COOPERCRED</t>
  </si>
  <si>
    <t>CREDICOLABA</t>
  </si>
  <si>
    <t>SICOOB CREDICITRUS</t>
  </si>
  <si>
    <t>CREDIBRAG</t>
  </si>
  <si>
    <t>CREDIMOTA</t>
  </si>
  <si>
    <t>SICOOB CREDICAP</t>
  </si>
  <si>
    <t>CREDICAB</t>
  </si>
  <si>
    <t>COFORCRED</t>
  </si>
  <si>
    <t>SICOOB CREDIGUAÇU</t>
  </si>
  <si>
    <t>SICOOB CREDICOCAPEC</t>
  </si>
  <si>
    <t>CRERURAL</t>
  </si>
  <si>
    <t>CREDICERIPA</t>
  </si>
  <si>
    <t>SICOOB-SP/COCREJAÚ</t>
  </si>
  <si>
    <t>SICOOB/SP CREDICOLAP</t>
  </si>
  <si>
    <t>CREDILINENSE</t>
  </si>
  <si>
    <t>CREDICAZOLA</t>
  </si>
  <si>
    <t>CREDIRIOGRANDENSE</t>
  </si>
  <si>
    <t>SICOOB/ SP CREDIPAULI</t>
  </si>
  <si>
    <t>CREDIMOCA</t>
  </si>
  <si>
    <t>SICOOB COOCRELIVRE</t>
  </si>
  <si>
    <t>SICOOB COCREFOCAPI</t>
  </si>
  <si>
    <t>SICOOB/SP PORTO FELIZ</t>
  </si>
  <si>
    <t>CREDIVALE</t>
  </si>
  <si>
    <t>SICOOB CREDICOONAI</t>
  </si>
  <si>
    <t>CREDINOVA</t>
  </si>
  <si>
    <t>CREDINOEL</t>
  </si>
  <si>
    <t>SICOOB COCRED</t>
  </si>
  <si>
    <t>CREDICOLASO</t>
  </si>
  <si>
    <t>COOPCRED</t>
  </si>
  <si>
    <t>CREDISA</t>
  </si>
  <si>
    <t>SICOOB CREDCOOPER</t>
  </si>
  <si>
    <t>CREDICOR</t>
  </si>
  <si>
    <t>CREDITAN</t>
  </si>
  <si>
    <t>CREDIRIO</t>
  </si>
  <si>
    <t>SICOOB CREDITRIL</t>
  </si>
  <si>
    <t>SICOOB-CREDIL</t>
  </si>
  <si>
    <t>SICOOB CREDICONQUISTA</t>
  </si>
  <si>
    <t>SICOOB-FEIRA</t>
  </si>
  <si>
    <t>CREDISOLO</t>
  </si>
  <si>
    <t>CREDCENTESP</t>
  </si>
  <si>
    <t>SICOOB EUNAPOLIS</t>
  </si>
  <si>
    <t>SICOOB EXTREMO SUL</t>
  </si>
  <si>
    <t>CREDIFIESC</t>
  </si>
  <si>
    <t>SICOOB CREDIJUR</t>
  </si>
  <si>
    <t>SICOOB/SC CREDIUNIÃO</t>
  </si>
  <si>
    <t>SICOOB SUDOESTE</t>
  </si>
  <si>
    <t>SICOOB-CREDIARAUCÁRIA/SC</t>
  </si>
  <si>
    <t>SICOOB CREDCOOP</t>
  </si>
  <si>
    <t>ASCOOB SERRINHA</t>
  </si>
  <si>
    <t>VIACREDI</t>
  </si>
  <si>
    <t>COOPERCRED DE JOINVILLE</t>
  </si>
  <si>
    <t>SICOOB-COOPECREDI</t>
  </si>
  <si>
    <t>SICOOB TRENTOCREDI SC</t>
  </si>
  <si>
    <t>SICOOB CREDIJU</t>
  </si>
  <si>
    <t>SICOOB CREDIGANDU</t>
  </si>
  <si>
    <t>SICOOB COOPESE</t>
  </si>
  <si>
    <t>SICOOB CREDSEGURO</t>
  </si>
  <si>
    <t>AJOCREDI</t>
  </si>
  <si>
    <t>SICOOB PÉ DE SERRA</t>
  </si>
  <si>
    <t>SICOOB MULTICREDI SC</t>
  </si>
  <si>
    <t>SICOOB RECÔNCAVO</t>
  </si>
  <si>
    <t>SICOOB/SC CREDISSERRANA</t>
  </si>
  <si>
    <t>SICOOB-CREDIJAM</t>
  </si>
  <si>
    <t>SICOOB CREDIBARRA</t>
  </si>
  <si>
    <t>CREDIMOGIANA</t>
  </si>
  <si>
    <t>SICOOB CREDIRAMA</t>
  </si>
  <si>
    <t>FEDERALCRED</t>
  </si>
  <si>
    <t>CREDISC</t>
  </si>
  <si>
    <t>CREDITAM</t>
  </si>
  <si>
    <t>SICOOB CREDIROCHAS</t>
  </si>
  <si>
    <t>SICOOB CREDICAPA</t>
  </si>
  <si>
    <t>SICOOB CREDIFFIS</t>
  </si>
  <si>
    <t>SICOOB CREDIPAR</t>
  </si>
  <si>
    <t>SICOOB RIVERCRED</t>
  </si>
  <si>
    <t>CREDITÊXTIL</t>
  </si>
  <si>
    <t>SICOOB COSTA DENDÊ</t>
  </si>
  <si>
    <t>SICOOB CREDISG</t>
  </si>
  <si>
    <t>SICOOB ITAPICURU</t>
  </si>
  <si>
    <t>SICOOB BLUCREDI SC</t>
  </si>
  <si>
    <t>ALTOCREDI</t>
  </si>
  <si>
    <t>SICOOB CREDIP</t>
  </si>
  <si>
    <t>SICOOB POLICREDI</t>
  </si>
  <si>
    <t>SICOOB OUROCREDI</t>
  </si>
  <si>
    <t>COOPECRÉDITO</t>
  </si>
  <si>
    <t>SICOOB CREDIC</t>
  </si>
  <si>
    <t>SICOOB CBCRED</t>
  </si>
  <si>
    <t>COOPERCRED-PALMAS</t>
  </si>
  <si>
    <t>SICOOB CREDMAC</t>
  </si>
  <si>
    <t>CREDIFORTE</t>
  </si>
  <si>
    <t>CEMATER</t>
  </si>
  <si>
    <t>COOPERCRED-MIRANORTE</t>
  </si>
  <si>
    <t>SICOOB ITABATÃ</t>
  </si>
  <si>
    <t>SICOOB CREDIUESB</t>
  </si>
  <si>
    <t>SICOOB CREDI-SGPA</t>
  </si>
  <si>
    <t>COOPERCRED VALE TO</t>
  </si>
  <si>
    <t>SICOOB - TRANSCREDI</t>
  </si>
  <si>
    <t>SICOOB COOPEMAR</t>
  </si>
  <si>
    <t>SICOOB- SUBAE</t>
  </si>
  <si>
    <t>SICOOB CRED EXECUTIVO</t>
  </si>
  <si>
    <t>COOFAL</t>
  </si>
  <si>
    <t>SICOOB BONFIM</t>
  </si>
  <si>
    <t>SICOOB GRANDE</t>
  </si>
  <si>
    <t>SICOOB CREDIBAN/SC</t>
  </si>
  <si>
    <t>SICOOB- CREDISA</t>
  </si>
  <si>
    <t>SICOOB ENGECRED-GO</t>
  </si>
  <si>
    <t>SICOOB LOJICRED</t>
  </si>
  <si>
    <t>SICOOB/SP CREDINOSP</t>
  </si>
  <si>
    <t>SICOOB/SC ACICRED</t>
  </si>
  <si>
    <t>SICOOB CREDICOOGRAP</t>
  </si>
  <si>
    <t>SICOOB COMÉRCIO</t>
  </si>
  <si>
    <t>CREDITRAN</t>
  </si>
  <si>
    <t>SICOOB CREDJURD</t>
  </si>
  <si>
    <t>SICOOB- NORDESTE</t>
  </si>
  <si>
    <t>SICOOB- PARAGUASSU</t>
  </si>
  <si>
    <t>SICOOB COOMPEB</t>
  </si>
  <si>
    <t>SICOOB CENTRO SUL</t>
  </si>
  <si>
    <t>CREDIAGRO</t>
  </si>
  <si>
    <t>CDLCOOP</t>
  </si>
  <si>
    <t>ADCRED</t>
  </si>
  <si>
    <t>CREDILITORAL</t>
  </si>
  <si>
    <t>SICOOB BURITIS</t>
  </si>
  <si>
    <t>SICOOB/SP SUDOCRED</t>
  </si>
  <si>
    <t>CREDPOM</t>
  </si>
  <si>
    <t>CECRISACRED</t>
  </si>
  <si>
    <t>SICOOB/SP CREDLÍDER</t>
  </si>
  <si>
    <t>SICOOB GOIÁS COAPIL</t>
  </si>
  <si>
    <t>PORTOCREDI</t>
  </si>
  <si>
    <t>SICOOB - ITACREDI/SC</t>
  </si>
  <si>
    <t>SICOOB - CREDIMONTE</t>
  </si>
  <si>
    <t>SICOOB COOPSOL</t>
  </si>
  <si>
    <t>SICOOB CREDISUL</t>
  </si>
  <si>
    <t>OABCRED</t>
  </si>
  <si>
    <t>SICOOB CREDINOSSO</t>
  </si>
  <si>
    <t>SICOOB DO VALE RIO CRIXÁS</t>
  </si>
  <si>
    <t>SICOOB CREDIACIU</t>
  </si>
  <si>
    <t>SICOOB CREDIFIEMG</t>
  </si>
  <si>
    <t>ESTIVACREDI</t>
  </si>
  <si>
    <t>SICOOB EMPRECRED</t>
  </si>
  <si>
    <t>SICOOB SECOVICRED</t>
  </si>
  <si>
    <t>SICOOB SERVCRED/GO</t>
  </si>
  <si>
    <t>CREDICOR - SC</t>
  </si>
  <si>
    <t>SICOOB CREDI COMIGO</t>
  </si>
  <si>
    <t>EMPRECRED</t>
  </si>
  <si>
    <t>SICOOB INDACREDI</t>
  </si>
  <si>
    <t>SICOOB CREDILEITE</t>
  </si>
  <si>
    <t>SICOOB CREDMED</t>
  </si>
  <si>
    <t>SICOOB CENTRO OESTE PAULISTA</t>
  </si>
  <si>
    <t>SICOOB METROPOLITANO ES</t>
  </si>
  <si>
    <t>SICOOB EMPRESARIAL</t>
  </si>
  <si>
    <t>SICOOB CREDCELG</t>
  </si>
  <si>
    <t>SICOOB FLUMICRED</t>
  </si>
  <si>
    <t>SICOOB MEIO-NORTE</t>
  </si>
  <si>
    <t>SICOOB EDUCAÇÃO</t>
  </si>
  <si>
    <t>SICOOB JURISCRED</t>
  </si>
  <si>
    <t>SICOOB CREDICER</t>
  </si>
  <si>
    <t>SICOOB COOPREM</t>
  </si>
  <si>
    <t>SICOOB CREDIADAG</t>
  </si>
  <si>
    <t>SICOOB CREDEMPRESAS - AM</t>
  </si>
  <si>
    <t>SICOOB PROFISSIONAIS DA SAÚDE</t>
  </si>
  <si>
    <t>SICOOB ECOCREDI</t>
  </si>
  <si>
    <t>CREDFAZ MANAUS</t>
  </si>
  <si>
    <t>FEDERALCRED LESTE</t>
  </si>
  <si>
    <t>SAUDECRED</t>
  </si>
  <si>
    <t>SICOOB CEJASCRED</t>
  </si>
  <si>
    <t>FEDERALCRED SUL</t>
  </si>
  <si>
    <t>SICOOB EXECUTIVO</t>
  </si>
  <si>
    <t>SICOOB JUDICIÁRIO</t>
  </si>
  <si>
    <t>COOPSIDER</t>
  </si>
  <si>
    <t>CREDESCELSA</t>
  </si>
  <si>
    <t>SULCRED</t>
  </si>
  <si>
    <t>CECM USINA PAINEIRA</t>
  </si>
  <si>
    <t>CREDI-GAROTO</t>
  </si>
  <si>
    <t>CREDI-BUAIZ</t>
  </si>
  <si>
    <t>CREDINEFFA</t>
  </si>
  <si>
    <t>CREDIGAZETA</t>
  </si>
  <si>
    <t>CECMF STA CASA CASTE</t>
  </si>
  <si>
    <t>CREDITEL</t>
  </si>
  <si>
    <t>CRED-SAUDE</t>
  </si>
  <si>
    <t>TRANSCRED</t>
  </si>
  <si>
    <t>COOPERFINDES</t>
  </si>
  <si>
    <t>COOPSER</t>
  </si>
  <si>
    <t>CREDI-BRÁS</t>
  </si>
  <si>
    <t>CREDPREST</t>
  </si>
  <si>
    <t>COOPSMUV</t>
  </si>
  <si>
    <t>COOPETFES</t>
  </si>
  <si>
    <t>COOPJUD</t>
  </si>
  <si>
    <t>FEDERALCRED-ES</t>
  </si>
  <si>
    <t>COOPGLÓRIA</t>
  </si>
  <si>
    <t>CRETOVALE</t>
  </si>
  <si>
    <t>CECMESB-ES</t>
  </si>
  <si>
    <t>CRED-UFES</t>
  </si>
  <si>
    <t>SICOOB CREDICOM</t>
  </si>
  <si>
    <t>SICOOB COFAL</t>
  </si>
  <si>
    <t>ARCOMCREDI</t>
  </si>
  <si>
    <t>SICOOB DIVICRED</t>
  </si>
  <si>
    <t>ITACRED</t>
  </si>
  <si>
    <t>SICOOB CREDICOPA</t>
  </si>
  <si>
    <t>ASCICRED</t>
  </si>
  <si>
    <t>COOPECREMT</t>
  </si>
  <si>
    <t>SICOOB VALE DO AÇO</t>
  </si>
  <si>
    <t>CRED COPERCANA</t>
  </si>
  <si>
    <t>SANTA MARINA</t>
  </si>
  <si>
    <t>COOPERCIMAF</t>
  </si>
  <si>
    <t>SICOOB CREDIDF</t>
  </si>
  <si>
    <t>SICOOB CREDIJUSTRA</t>
  </si>
  <si>
    <t>CECREMEF</t>
  </si>
  <si>
    <t>COOPFICAP</t>
  </si>
  <si>
    <t>CREDICERJ</t>
  </si>
  <si>
    <t>COBANLIGHT</t>
  </si>
  <si>
    <t>COOPDELPHOS</t>
  </si>
  <si>
    <t>COOPUERJ</t>
  </si>
  <si>
    <t>COOP REFINARIA PIEDA</t>
  </si>
  <si>
    <t>COCEDAE</t>
  </si>
  <si>
    <t>CREMENDES</t>
  </si>
  <si>
    <t>COMERJ</t>
  </si>
  <si>
    <t>PUC/RJ</t>
  </si>
  <si>
    <t>COOPCORREIOS</t>
  </si>
  <si>
    <t>COOP-JUSTIÇA</t>
  </si>
  <si>
    <t>CREDIVERB</t>
  </si>
  <si>
    <t>COOPCISPER</t>
  </si>
  <si>
    <t>COOPNOVA</t>
  </si>
  <si>
    <t>CECM-SMITHKLINE</t>
  </si>
  <si>
    <t>CECREMEV</t>
  </si>
  <si>
    <t>CECM ÁLCALIS</t>
  </si>
  <si>
    <t>FUNC.M.AGOSTINI</t>
  </si>
  <si>
    <t>SALUCRED</t>
  </si>
  <si>
    <t>COOPESA</t>
  </si>
  <si>
    <t>FUND.ROQUETTE PINTO</t>
  </si>
  <si>
    <t>JOHN F. KENNEDY</t>
  </si>
  <si>
    <t>COOPERITA</t>
  </si>
  <si>
    <t>SERV.CNC-SESC-SENAC</t>
  </si>
  <si>
    <t>COOPAME</t>
  </si>
  <si>
    <t>COOPERFAMP</t>
  </si>
  <si>
    <t>CREDITO LTDA</t>
  </si>
  <si>
    <t>AC CREDI</t>
  </si>
  <si>
    <t>COOSERVCRED</t>
  </si>
  <si>
    <t>CREDSUL</t>
  </si>
  <si>
    <t>CREDIVISTA</t>
  </si>
  <si>
    <t>CREDICOPLANA</t>
  </si>
  <si>
    <t>COONAIZINHA</t>
  </si>
  <si>
    <t>CREDICIM</t>
  </si>
  <si>
    <t>COOCREZ</t>
  </si>
  <si>
    <t>COOPEF</t>
  </si>
  <si>
    <t>CBMM</t>
  </si>
  <si>
    <t>COOPEARA</t>
  </si>
  <si>
    <t>CECREF</t>
  </si>
  <si>
    <t>CECREMEC</t>
  </si>
  <si>
    <t>COOP. PITAGORAS</t>
  </si>
  <si>
    <t>COOPSEF</t>
  </si>
  <si>
    <t>SEBRAECOOP</t>
  </si>
  <si>
    <t>CREDER</t>
  </si>
  <si>
    <t>COOPEB</t>
  </si>
  <si>
    <t>SICOOB COOPJUS</t>
  </si>
  <si>
    <t>CRED-PÃO</t>
  </si>
  <si>
    <t>SICOOB NOSSACOOP</t>
  </si>
  <si>
    <t>CREDITUR</t>
  </si>
  <si>
    <t>ADM-CRED</t>
  </si>
  <si>
    <t>CREDITÁBIL</t>
  </si>
  <si>
    <t>MG MASTER</t>
  </si>
  <si>
    <t>SICOOB CREDESP</t>
  </si>
  <si>
    <t>CREDICAGE</t>
  </si>
  <si>
    <t>COOPERACIC</t>
  </si>
  <si>
    <t>CONCRED</t>
  </si>
  <si>
    <t>SICOOB CENTRO OESTE</t>
  </si>
  <si>
    <t>CREDICOOP</t>
  </si>
  <si>
    <t>CREDICENM</t>
  </si>
  <si>
    <t>SICOOB ACICREDI</t>
  </si>
  <si>
    <t>COSMIPA</t>
  </si>
  <si>
    <t>COSEMI</t>
  </si>
  <si>
    <t>ITACOOP</t>
  </si>
  <si>
    <t>SICOOB CREDIMEPI</t>
  </si>
  <si>
    <t>CREDIJOP</t>
  </si>
  <si>
    <t>COOPERCON</t>
  </si>
  <si>
    <t>SANTACASACRED</t>
  </si>
  <si>
    <t>SICOOB LAGOACRED</t>
  </si>
  <si>
    <t>CREDIESAL</t>
  </si>
  <si>
    <t>CREDIALCIL</t>
  </si>
  <si>
    <t>CREDIMA</t>
  </si>
  <si>
    <t>COOPAÇO</t>
  </si>
  <si>
    <t>SICOOB CREDIPARNOR</t>
  </si>
  <si>
    <t>SICOOB CREDIACIP</t>
  </si>
  <si>
    <t>CREDIAL</t>
  </si>
  <si>
    <t>CREDIPOÇOS</t>
  </si>
  <si>
    <t>COOP - OURO</t>
  </si>
  <si>
    <t>SAMCREDI</t>
  </si>
  <si>
    <t>SICOOB PARAISOCRED</t>
  </si>
  <si>
    <t>COOPERTIM</t>
  </si>
  <si>
    <t>COPESITA</t>
  </si>
  <si>
    <t>CREDITEC</t>
  </si>
  <si>
    <t>SICOOB CREDIMED</t>
  </si>
  <si>
    <t>SICOOB CREDIEMPAR</t>
  </si>
  <si>
    <t>CREDISUL</t>
  </si>
  <si>
    <t>SICOOB SERTÃO MINAS</t>
  </si>
  <si>
    <t>SICOOB CREDIMONTES</t>
  </si>
  <si>
    <t>CCVA</t>
  </si>
  <si>
    <t>CREDFENAS</t>
  </si>
  <si>
    <t>EDUCOOP</t>
  </si>
  <si>
    <t>BDMG</t>
  </si>
  <si>
    <t>COOPFISCO</t>
  </si>
  <si>
    <t>CREDSAÚDE</t>
  </si>
  <si>
    <t>COOPCREDI</t>
  </si>
  <si>
    <t>AÇOCREDI</t>
  </si>
  <si>
    <t>SICOOB COPERMEC</t>
  </si>
  <si>
    <t>CREDICAMP</t>
  </si>
  <si>
    <t>COOPSHINDLER LTDA</t>
  </si>
  <si>
    <t>COOPERVAÇO</t>
  </si>
  <si>
    <t>CREDIACICB</t>
  </si>
  <si>
    <t>SICOOB COOPEMATA</t>
  </si>
  <si>
    <t>CECREB</t>
  </si>
  <si>
    <t>SICOOB NOSSACRED</t>
  </si>
  <si>
    <t>COESI</t>
  </si>
  <si>
    <t>COOPCOMLURB</t>
  </si>
  <si>
    <t>CREDICON</t>
  </si>
  <si>
    <t>SICOOB CREDIBRASÍLIA</t>
  </si>
  <si>
    <t>SICOOB ENGECRED</t>
  </si>
  <si>
    <t>COOPERNAB</t>
  </si>
  <si>
    <t>SICOOB COOPER - AÇÃO</t>
  </si>
  <si>
    <t>COOPERJUP</t>
  </si>
  <si>
    <t>CREDBEM</t>
  </si>
  <si>
    <t>COIPA</t>
  </si>
  <si>
    <t>COOPERCO</t>
  </si>
  <si>
    <t>CREDMISTRA</t>
  </si>
  <si>
    <t>ODONTOCRED</t>
  </si>
  <si>
    <t>SUCRED</t>
  </si>
  <si>
    <t>COOPERFAZ</t>
  </si>
  <si>
    <t>COOPERUFPA</t>
  </si>
  <si>
    <t>SICOOB COOMINAGRI BÉLEM</t>
  </si>
  <si>
    <t>SICOOB COOESA</t>
  </si>
  <si>
    <t>COIMPPA</t>
  </si>
  <si>
    <t>SICOOB FEDERAL PARÁ</t>
  </si>
  <si>
    <t>COOPERTECNICA</t>
  </si>
  <si>
    <t>UNIDESP</t>
  </si>
  <si>
    <t>COOCPRM</t>
  </si>
  <si>
    <t>COOPERMEC</t>
  </si>
  <si>
    <t>COOPERJUS</t>
  </si>
  <si>
    <t>COSESC</t>
  </si>
  <si>
    <t>CREDIPEP</t>
  </si>
  <si>
    <t>CERTEL</t>
  </si>
  <si>
    <t>SICOOB COOPERCRET</t>
  </si>
  <si>
    <t>CREDISERV</t>
  </si>
  <si>
    <t>COOPSEBRAE</t>
  </si>
  <si>
    <t>COOPMAIA</t>
  </si>
  <si>
    <t>COOPJUNTA</t>
  </si>
  <si>
    <t>CREDICOLIBRI</t>
  </si>
  <si>
    <t>COOPECON</t>
  </si>
  <si>
    <t>RIBCRED LTDA</t>
  </si>
  <si>
    <t>COOPCOMFEC</t>
  </si>
  <si>
    <t>COOPESPE</t>
  </si>
  <si>
    <t>FRUCREDI</t>
  </si>
  <si>
    <t>CREDISERIDÓ</t>
  </si>
  <si>
    <t>ITAUCRED</t>
  </si>
  <si>
    <t>CREDIPOL</t>
  </si>
  <si>
    <t>CREDIAGRESTE</t>
  </si>
  <si>
    <t>CREDIALTO</t>
  </si>
  <si>
    <t>ELETROCRED</t>
  </si>
  <si>
    <t>SICOOB CREDIEMBRAPA</t>
  </si>
  <si>
    <t>COOPSERJ</t>
  </si>
  <si>
    <t>CREDIFECOMERCIO</t>
  </si>
  <si>
    <t>CREDISPAR</t>
  </si>
  <si>
    <t>COOPERFORTE</t>
  </si>
  <si>
    <t>COOPERPLAN</t>
  </si>
  <si>
    <t>CREDISAM</t>
  </si>
  <si>
    <t>CREDICER</t>
  </si>
  <si>
    <t>UFV-CREDI</t>
  </si>
  <si>
    <t>COOPERAÇO</t>
  </si>
  <si>
    <t>ALTACREDI</t>
  </si>
  <si>
    <t>ACIUCRED</t>
  </si>
  <si>
    <t>CREDIGERAIS</t>
  </si>
  <si>
    <t>DENTALCRED</t>
  </si>
  <si>
    <t>CREDITRIÂNGULO</t>
  </si>
  <si>
    <t>COOPOÇOS</t>
  </si>
  <si>
    <t>CREDIFARMA</t>
  </si>
  <si>
    <t>CDL/BH</t>
  </si>
  <si>
    <t>COOPFISPRO</t>
  </si>
  <si>
    <t>CREDIBAMA</t>
  </si>
  <si>
    <t>SICOOB CREDFAZ</t>
  </si>
  <si>
    <t>CRED RIO NORTE</t>
  </si>
  <si>
    <t>COOP-CREDJUS</t>
  </si>
  <si>
    <t>COOPERHA</t>
  </si>
  <si>
    <t>COOSUFF</t>
  </si>
  <si>
    <t>CREDICORES</t>
  </si>
  <si>
    <t>COOP-CPII</t>
  </si>
  <si>
    <t>COOPENSINO</t>
  </si>
  <si>
    <t>COOPVALE</t>
  </si>
  <si>
    <t>COOFE</t>
  </si>
  <si>
    <t>COPEJUFE</t>
  </si>
  <si>
    <t>CREDISAU</t>
  </si>
  <si>
    <t>SICOOB CREDISERVBH</t>
  </si>
  <si>
    <t>CREDILOJA</t>
  </si>
  <si>
    <t>COOPERCRÉDITO</t>
  </si>
  <si>
    <t>SICOOB COOPERTEC</t>
  </si>
  <si>
    <t>SICOOB FEDERAL</t>
  </si>
  <si>
    <t>SICOOB METROPOLITANO/MT</t>
  </si>
  <si>
    <t>COOPERTEL</t>
  </si>
  <si>
    <t>COOPERSISTEM</t>
  </si>
  <si>
    <t>CREDIMIL</t>
  </si>
  <si>
    <t>COOPERCEM</t>
  </si>
  <si>
    <t>CREDITAMBÉ</t>
  </si>
  <si>
    <t>SICOOB CRED-FUB</t>
  </si>
  <si>
    <t>CREDIRHODIA</t>
  </si>
  <si>
    <t>COOPEMESP</t>
  </si>
  <si>
    <t>CREDICORSEGS</t>
  </si>
  <si>
    <t>CREDIJUD</t>
  </si>
  <si>
    <t>BOM-CREDI</t>
  </si>
  <si>
    <t>CRÉD-ENSINO</t>
  </si>
  <si>
    <t>SICOOB LEGISLATIVO</t>
  </si>
  <si>
    <t>CREDENCOM</t>
  </si>
  <si>
    <t>ASPOMCRED</t>
  </si>
  <si>
    <t>SICOOB COOPEMG</t>
  </si>
  <si>
    <t>PARACRED</t>
  </si>
  <si>
    <t>SICOOB ARACOOP</t>
  </si>
  <si>
    <t>SICOOB UFCRED</t>
  </si>
  <si>
    <t>FUNDACOOP</t>
  </si>
  <si>
    <t>CREDICUIABÁ</t>
  </si>
  <si>
    <t>CREDIMETAL</t>
  </si>
  <si>
    <t>COOPSSESPES</t>
  </si>
  <si>
    <t>CREDIVIG</t>
  </si>
  <si>
    <t>COOPMIL</t>
  </si>
  <si>
    <t>COOFER</t>
  </si>
  <si>
    <t>CREDIAÇO</t>
  </si>
  <si>
    <t>SICOOB JUS-MP</t>
  </si>
  <si>
    <t>CREDIMED</t>
  </si>
  <si>
    <t>CREDSEF</t>
  </si>
  <si>
    <t>COOPERVALE</t>
  </si>
  <si>
    <t>SICOOB COOPERCREDI - SP</t>
  </si>
  <si>
    <t>COOPENERG</t>
  </si>
  <si>
    <t>CREDI-RB</t>
  </si>
  <si>
    <t>CREDINORTE</t>
  </si>
  <si>
    <t>COPERCRED</t>
  </si>
  <si>
    <t>CREDMETAL</t>
  </si>
  <si>
    <t>COOPAFRERJ</t>
  </si>
  <si>
    <t>CREDICUIA</t>
  </si>
  <si>
    <t>EDUCATIVA</t>
  </si>
  <si>
    <t>COOPREV LTDA</t>
  </si>
  <si>
    <t>CREDS</t>
  </si>
  <si>
    <t>SICOOB CREDIPAJEÚ</t>
  </si>
  <si>
    <t>COOPSEGURA</t>
  </si>
  <si>
    <t>MEDCRED PRESIDENTE PRUDENTE</t>
  </si>
  <si>
    <t>SICOOB COOPERCORREIOS</t>
  </si>
  <si>
    <t>CREDESTIVA</t>
  </si>
  <si>
    <t>SICOOB COOPECMT</t>
  </si>
  <si>
    <t>CREDIALCOA</t>
  </si>
  <si>
    <t>SICOOB COOPERLOJA</t>
  </si>
  <si>
    <t>CREDICOR/RJ</t>
  </si>
  <si>
    <t>CREDIBOM</t>
  </si>
  <si>
    <t>CREDIGRAF</t>
  </si>
  <si>
    <t>CRED-PLAN</t>
  </si>
  <si>
    <t>CREDSUPER</t>
  </si>
  <si>
    <t>FISIOCRED</t>
  </si>
  <si>
    <t>SICOOB CANTAREIRA</t>
  </si>
  <si>
    <t>SICOOB UBERCOOP</t>
  </si>
  <si>
    <t>SICOOB CREDMALHAS</t>
  </si>
  <si>
    <t>MEDCRED RIBEIRÃO PRETO</t>
  </si>
  <si>
    <t>SICOOB CREDPIT</t>
  </si>
  <si>
    <t>CREDIJUF</t>
  </si>
  <si>
    <t>SICOOB MULTIPLO</t>
  </si>
  <si>
    <t>SICOOB SERVIDOR</t>
  </si>
  <si>
    <t>ADMCRED</t>
  </si>
  <si>
    <t>CRESSEM</t>
  </si>
  <si>
    <t>COECELPA</t>
  </si>
  <si>
    <t>CREDCOOPAGAR</t>
  </si>
  <si>
    <t>SICOOB CRED ACIF</t>
  </si>
  <si>
    <t>SICOOB CONQUISTA</t>
  </si>
  <si>
    <t>COOPERBANT</t>
  </si>
  <si>
    <t>TECNOCRERJ</t>
  </si>
  <si>
    <t>CREDITRAIRY</t>
  </si>
  <si>
    <t>INFOCRERJ</t>
  </si>
  <si>
    <t>POUPRIO</t>
  </si>
  <si>
    <t>COOPSUL</t>
  </si>
  <si>
    <t>CREDIMEC</t>
  </si>
  <si>
    <t>COPERMED DE JABOTICABAL</t>
  </si>
  <si>
    <t>SICOOB CABECRED</t>
  </si>
  <si>
    <t>ALCOOP SÃO ROQUE</t>
  </si>
  <si>
    <t>SANCRED</t>
  </si>
  <si>
    <t>CREDTAXI</t>
  </si>
  <si>
    <t>COOPERMAGIS</t>
  </si>
  <si>
    <t>COOPCOM</t>
  </si>
  <si>
    <t>COOMPERJ</t>
  </si>
  <si>
    <t>COOPTRANSP</t>
  </si>
  <si>
    <t>SICOOB METROPOLITANO</t>
  </si>
  <si>
    <t>SICOOB VALE DO IGUAÇU</t>
  </si>
  <si>
    <t>SICOOB CRESUD</t>
  </si>
  <si>
    <t>SICOOB TRÊS FRONTEIRAS</t>
  </si>
  <si>
    <t>SICOOB EDUC PARÁ</t>
  </si>
  <si>
    <t>SICOOB PRIMAVERA</t>
  </si>
  <si>
    <t>SICOOB CREDILESTE</t>
  </si>
  <si>
    <t>SICOOB ARAGUAIA</t>
  </si>
  <si>
    <t>CREDLOJA</t>
  </si>
  <si>
    <t>ALCRED SUDOESTE PAUL</t>
  </si>
  <si>
    <t>SICOOB OESTE</t>
  </si>
  <si>
    <t>JURISCRED</t>
  </si>
  <si>
    <t>COCRESUL</t>
  </si>
  <si>
    <t>SICOOB NORTE DO PARANÁ</t>
  </si>
  <si>
    <t>SICOOB ARCOMAR</t>
  </si>
  <si>
    <t>SICOOB CREDI NOROESTE</t>
  </si>
  <si>
    <t>SICOOB PANTANAL</t>
  </si>
  <si>
    <t>CREDFONE</t>
  </si>
  <si>
    <t>SICOOB CREDISERV</t>
  </si>
  <si>
    <t>SICOOB NOROESTE DO PARANÁ</t>
  </si>
  <si>
    <t>ARDOCREDI</t>
  </si>
  <si>
    <t>SICOOB CRED UFU</t>
  </si>
  <si>
    <t>SICOOB CREDINDÚSTRIA</t>
  </si>
  <si>
    <t>LOJISTAS COOPCRÉ - RIO</t>
  </si>
  <si>
    <t>COOPSINIMBU</t>
  </si>
  <si>
    <t>CECON</t>
  </si>
  <si>
    <t>SICOOB CASCAVEL</t>
  </si>
  <si>
    <t>COTIMKEN</t>
  </si>
  <si>
    <t>CREDIFISCO</t>
  </si>
  <si>
    <t>COOPERQUIM</t>
  </si>
  <si>
    <t>SICOOB ALIANÇA</t>
  </si>
  <si>
    <t>SICOOB CREDIBRASIL</t>
  </si>
  <si>
    <t>SICOOB CREDIÇUCAR</t>
  </si>
  <si>
    <t>SICOOB CREDIAC</t>
  </si>
  <si>
    <t>MAGISCRED</t>
  </si>
  <si>
    <t>SICOOB ARENITO</t>
  </si>
  <si>
    <t>CREDICONSUMO</t>
  </si>
  <si>
    <t>UNICREF CEARA</t>
  </si>
  <si>
    <t>CREDZAT</t>
  </si>
  <si>
    <t>CREDFAZ</t>
  </si>
  <si>
    <t>SICOOB MARECHAL</t>
  </si>
  <si>
    <t>COOPEMATER</t>
  </si>
  <si>
    <t>SICOOB SAGRI</t>
  </si>
  <si>
    <t>SICOOB COOPEA</t>
  </si>
  <si>
    <t>CREDIPAN</t>
  </si>
  <si>
    <t>SICOOB INTEGRADO</t>
  </si>
  <si>
    <t>COOMIPA</t>
  </si>
  <si>
    <t>SICOOB BOMBEIROS</t>
  </si>
  <si>
    <t>SICOOB ARAPONGAS</t>
  </si>
  <si>
    <t>CCBCRED</t>
  </si>
  <si>
    <t>SICOOB GUARAPUAVA</t>
  </si>
  <si>
    <t>SICOOB MÉDIO OESTE</t>
  </si>
  <si>
    <t>SICOOB CAMPOS GERAIS</t>
  </si>
  <si>
    <t>SICOOB CENTRO LESTE</t>
  </si>
  <si>
    <t>OURICRED</t>
  </si>
  <si>
    <t>SICOOB CREDIACISC</t>
  </si>
  <si>
    <t>GRANCRED NOROESTE PAULISTA</t>
  </si>
  <si>
    <t>CREDIPRODESP</t>
  </si>
  <si>
    <t>COOPERDESP</t>
  </si>
  <si>
    <t>SICOOB CREDILOJISTA</t>
  </si>
  <si>
    <t>ADVRJ CRED</t>
  </si>
  <si>
    <t>SICOOB CREDICOR/SP</t>
  </si>
  <si>
    <t>SICOOB ACICOOP</t>
  </si>
  <si>
    <t>COOPERSERV</t>
  </si>
  <si>
    <t>SICOOB CREDIACISA</t>
  </si>
  <si>
    <t>SICOOB COOPERAC</t>
  </si>
  <si>
    <t>COMCRED</t>
  </si>
  <si>
    <t>COSAE</t>
  </si>
  <si>
    <t>CREDEMPRESAS/RO</t>
  </si>
  <si>
    <t>CONCREDI</t>
  </si>
  <si>
    <t>CREDCREA</t>
  </si>
  <si>
    <t>4417-2</t>
  </si>
  <si>
    <t>JARUCREDI</t>
  </si>
  <si>
    <t>SICOOB COOPCRED</t>
  </si>
  <si>
    <t>SICOOB CREDIACIL</t>
  </si>
  <si>
    <t>SICOOB INTEGRAÇÃO</t>
  </si>
  <si>
    <t>COLCREDI</t>
  </si>
  <si>
    <t>SICOOB CREDIALTO</t>
  </si>
  <si>
    <t>CREDCEG</t>
  </si>
  <si>
    <t>SICOOB CRED-ACI</t>
  </si>
  <si>
    <t>SICOOB CREDIACIPREV</t>
  </si>
  <si>
    <t>SICOOB JUDCRED</t>
  </si>
  <si>
    <t>SICOOB CRED-ACILPA</t>
  </si>
  <si>
    <t>COOPECAD</t>
  </si>
  <si>
    <t>SICOOB IESACRED</t>
  </si>
  <si>
    <t>CREDELESC</t>
  </si>
  <si>
    <t>SICOOB CREDIMA</t>
  </si>
  <si>
    <t>CREDIFOZ</t>
  </si>
  <si>
    <t>METALCRED DA GRANDE SÃO PAULO</t>
  </si>
  <si>
    <t>SICOOB CREDIACIRC</t>
  </si>
  <si>
    <t>SICOOB COOPERACE</t>
  </si>
  <si>
    <t>CREDICOMIN</t>
  </si>
  <si>
    <t>TRANSPOCRED</t>
  </si>
  <si>
    <t>SICOOB COOPERASO</t>
  </si>
  <si>
    <t>SICOOB OESTE PAULISTA</t>
  </si>
  <si>
    <t>SICOOB DOURADOS</t>
  </si>
  <si>
    <t>COODPERJ</t>
  </si>
  <si>
    <t>CREVISC</t>
  </si>
  <si>
    <t>BDCREDI</t>
  </si>
  <si>
    <t>CECREM</t>
  </si>
  <si>
    <t>COOPSERJUSMIG</t>
  </si>
  <si>
    <t>COOPTEK</t>
  </si>
  <si>
    <t>COOPSESP</t>
  </si>
  <si>
    <t>COOPA</t>
  </si>
  <si>
    <t>SCRCRED</t>
  </si>
  <si>
    <t>CECREPAM</t>
  </si>
  <si>
    <t>COMEL</t>
  </si>
  <si>
    <t>TUPICRED</t>
  </si>
  <si>
    <t>COOPEQ</t>
  </si>
  <si>
    <t>COOPECIC</t>
  </si>
  <si>
    <t>COOPERGARDÊNIA</t>
  </si>
  <si>
    <t>COCREBAN</t>
  </si>
  <si>
    <t>COOPARA</t>
  </si>
  <si>
    <t>CECME ALUMAR</t>
  </si>
  <si>
    <t>RODOCRÉDITO</t>
  </si>
  <si>
    <t>SICOOB CECRESA</t>
  </si>
  <si>
    <t>CONTCRED MACEIÓ</t>
  </si>
  <si>
    <t>PROMOCRED</t>
  </si>
  <si>
    <t>ALCRED DE LENÇÓIS PAULISTA</t>
  </si>
  <si>
    <t>SICOOB CREDIBESP</t>
  </si>
  <si>
    <t>CREDIASSIS</t>
  </si>
  <si>
    <t>SICOOB COLORADO</t>
  </si>
  <si>
    <t>COOPERJUSP</t>
  </si>
  <si>
    <t>SICOOB CGCRED</t>
  </si>
  <si>
    <t>SICOOB OZAZCRED</t>
  </si>
  <si>
    <t>SICOOB NORTE PIONEIRO</t>
  </si>
  <si>
    <t>SICOOB GRANDE SÃO PAULO</t>
  </si>
  <si>
    <t>BARRACRED COSAN</t>
  </si>
  <si>
    <t>SICOOB CREDEMPRESAS-AP</t>
  </si>
  <si>
    <t>CREDICHAPADA</t>
  </si>
  <si>
    <t>CREDIPRODAM</t>
  </si>
  <si>
    <t>NOSSA TERRA</t>
  </si>
  <si>
    <t>COOPERCREDI FLEURY</t>
  </si>
  <si>
    <t>SICOOB COOPERNAPI</t>
  </si>
  <si>
    <t>COOPERACS-SP</t>
  </si>
  <si>
    <t>COOPEREMBRAER</t>
  </si>
  <si>
    <t>4494-6</t>
  </si>
  <si>
    <t>COOPINCOR</t>
  </si>
  <si>
    <t>UNICRED AMERICANA</t>
  </si>
  <si>
    <t>UNICRED FLORIANÓPOLIS</t>
  </si>
  <si>
    <t>UNICRED CENTRO BRASILEIRA</t>
  </si>
  <si>
    <t>UNICRED NOVA FRIBURGO</t>
  </si>
  <si>
    <t>5006-7</t>
  </si>
  <si>
    <t>UNICRED NORDESTE RS</t>
  </si>
  <si>
    <t>SETE LAGOAS</t>
  </si>
  <si>
    <t>UNICRED ANHANGUERA</t>
  </si>
  <si>
    <t>UNICRED BLUMENAU</t>
  </si>
  <si>
    <t>UNICRED SUDOESTE E SUL GOIANO</t>
  </si>
  <si>
    <t>UNICRED PETRÓPOLIS</t>
  </si>
  <si>
    <t>5016-4</t>
  </si>
  <si>
    <t>UNICRED PORTO ALEGRE</t>
  </si>
  <si>
    <t>CURVELO</t>
  </si>
  <si>
    <t>UNICRED REGIONAL SUL</t>
  </si>
  <si>
    <t>UNICRED SUL CATARINENSE</t>
  </si>
  <si>
    <t>UNICRED CENTRO NORTE GOIANO</t>
  </si>
  <si>
    <t>UNICRED REGIONAL SUL FLUMINENS</t>
  </si>
  <si>
    <t>5026-1</t>
  </si>
  <si>
    <t>UNICRED REGIÃO DA PRODUÇÃO</t>
  </si>
  <si>
    <t>BETIM</t>
  </si>
  <si>
    <t>UNICRED DE TAUBATÉ</t>
  </si>
  <si>
    <t>UNICRED OESTE E SERRA</t>
  </si>
  <si>
    <t>UNICRED CABO FRIO</t>
  </si>
  <si>
    <t>5036-9</t>
  </si>
  <si>
    <t>UNICRED CENTRO JACUÍ</t>
  </si>
  <si>
    <t>UNICRED RIO CLARO</t>
  </si>
  <si>
    <t>COOMARCA</t>
  </si>
  <si>
    <t>UNICRED COSTA DO SOL RJ</t>
  </si>
  <si>
    <t>5046-6</t>
  </si>
  <si>
    <t>UNICRED LITORAL SUL-RS</t>
  </si>
  <si>
    <t>PEDRO LEOPOLDO</t>
  </si>
  <si>
    <t>UNICRED VALE DO PARAÍBA</t>
  </si>
  <si>
    <t>5053-9</t>
  </si>
  <si>
    <t>UNICRED LITORAL E NORTE CATARI</t>
  </si>
  <si>
    <t>UNICRED CAMPOS</t>
  </si>
  <si>
    <t>5056-3</t>
  </si>
  <si>
    <t>UNICRED VALE DO SINOS</t>
  </si>
  <si>
    <t>NOVA SERRANA</t>
  </si>
  <si>
    <t>UNICRED CAMPINAS</t>
  </si>
  <si>
    <t>UNICRED NITERÓI LTDA</t>
  </si>
  <si>
    <t>5066-0</t>
  </si>
  <si>
    <t>UNICRED PELOTAS</t>
  </si>
  <si>
    <t>PARÁ DE MINAS</t>
  </si>
  <si>
    <t>UNICRED SÃO CARLOS</t>
  </si>
  <si>
    <t>5076-8</t>
  </si>
  <si>
    <t>UNICRED VALE TAQUARI RIO PARDO</t>
  </si>
  <si>
    <t>VARGINHA</t>
  </si>
  <si>
    <t>UNICRED SUDESTE PAULISTA</t>
  </si>
  <si>
    <t>5086-5</t>
  </si>
  <si>
    <t>UNICRED SANTA MARIA</t>
  </si>
  <si>
    <t>TRÊS PONTAS</t>
  </si>
  <si>
    <t>UNICRED DE PINDAMONHANGABA</t>
  </si>
  <si>
    <t>5096-2</t>
  </si>
  <si>
    <t>UNICRED FRONTEIRA OESTE</t>
  </si>
  <si>
    <t>FORMIGA</t>
  </si>
  <si>
    <t>UNICRED DE BEBEDOURO</t>
  </si>
  <si>
    <t>ARCOS</t>
  </si>
  <si>
    <t>UNICRED INTERIOR PAULISTA</t>
  </si>
  <si>
    <t>DIVINÓPOLIS</t>
  </si>
  <si>
    <t>UNICRED METROPOLITANA</t>
  </si>
  <si>
    <t>CAMPO BELO</t>
  </si>
  <si>
    <t>SICREDI EMPRESÁRIOS GUARULHOS</t>
  </si>
  <si>
    <t>ITAÚNA</t>
  </si>
  <si>
    <t>LAVRAS</t>
  </si>
  <si>
    <t>SÃO SEBASTIÃO DO PARAÍSO</t>
  </si>
  <si>
    <t>PASSOS</t>
  </si>
  <si>
    <t>UBERABA</t>
  </si>
  <si>
    <t>ITURAMA</t>
  </si>
  <si>
    <t>LEOPOLDINA</t>
  </si>
  <si>
    <t>MURIAÉ</t>
  </si>
  <si>
    <t>CATAGUASES</t>
  </si>
  <si>
    <t>JUIZ DE FORA</t>
  </si>
  <si>
    <t>SANTOS DUMONT</t>
  </si>
  <si>
    <t>SÃO JOÃO NEPOMUCENO</t>
  </si>
  <si>
    <t>ARAXÁ</t>
  </si>
  <si>
    <t>UBERLÂNDIA</t>
  </si>
  <si>
    <t>ARAGUARI</t>
  </si>
  <si>
    <t>ITUIUTABA</t>
  </si>
  <si>
    <t>MONTE CARMELO</t>
  </si>
  <si>
    <t>CATALÃO</t>
  </si>
  <si>
    <t>CARATINGA</t>
  </si>
  <si>
    <t>MANHUAÇU</t>
  </si>
  <si>
    <t>CARANGOLA</t>
  </si>
  <si>
    <t>VIÇOSA</t>
  </si>
  <si>
    <t>PONTE NOVA</t>
  </si>
  <si>
    <t>BARBACENA</t>
  </si>
  <si>
    <t>SÃO JOÃO DEL REI</t>
  </si>
  <si>
    <t>OURO PRETO</t>
  </si>
  <si>
    <t>MARIANA</t>
  </si>
  <si>
    <t>CONSELHEIRO LAFAIETE</t>
  </si>
  <si>
    <t>ITABIRA</t>
  </si>
  <si>
    <t>JOÃO MONLEVADE</t>
  </si>
  <si>
    <t>GOVERNADOR VALADARES</t>
  </si>
  <si>
    <t>TEÓFILO OTONI</t>
  </si>
  <si>
    <t>UBÁ</t>
  </si>
  <si>
    <t>VISCONDE DO RIO BRANCO</t>
  </si>
  <si>
    <t>SÃO LOURENÇO</t>
  </si>
  <si>
    <t>TRÊS CORAÇÕES</t>
  </si>
  <si>
    <t>CAXAMBU</t>
  </si>
  <si>
    <t>CRUZÍLIA</t>
  </si>
  <si>
    <t>ITAJUBÁ</t>
  </si>
  <si>
    <t>IPATINGA</t>
  </si>
  <si>
    <t>VITÓRIA</t>
  </si>
  <si>
    <t>VILA VELHA</t>
  </si>
  <si>
    <t>POÇOS DE CALDAS</t>
  </si>
  <si>
    <t>ALFENAS</t>
  </si>
  <si>
    <t>GUAXUPÉ</t>
  </si>
  <si>
    <t>ANDRADAS</t>
  </si>
  <si>
    <t>PATOS DE MINAS</t>
  </si>
  <si>
    <t>PATROCÍNIO</t>
  </si>
  <si>
    <t>COROMANDEL</t>
  </si>
  <si>
    <t>PARACATU</t>
  </si>
  <si>
    <t>FEIRA DE SANTANA</t>
  </si>
  <si>
    <t>SANTO ANTÔNIO DE JESUS</t>
  </si>
  <si>
    <t>VITÓRIA DA CONQUISTA</t>
  </si>
  <si>
    <t>EUNÁPOLIS</t>
  </si>
  <si>
    <t>TEIXEIRA DE FREITAS</t>
  </si>
  <si>
    <t>PORTO SEGURO</t>
  </si>
  <si>
    <t>CACHOEIRA DE ITAPEMIRIM</t>
  </si>
  <si>
    <t>POUSO ALEGRE</t>
  </si>
  <si>
    <t>BAMBUÍ</t>
  </si>
  <si>
    <t>UNAÍ</t>
  </si>
  <si>
    <t>MACHADO</t>
  </si>
  <si>
    <t>9999-6</t>
  </si>
  <si>
    <t>CENTRAL AGENCIAS</t>
  </si>
  <si>
    <t>Distribuição:</t>
  </si>
  <si>
    <t>4418-0</t>
  </si>
  <si>
    <t>SICOOB SINDICRED</t>
  </si>
  <si>
    <r>
      <rPr>
        <b/>
        <sz val="10"/>
        <rFont val="Arial"/>
        <family val="2"/>
      </rPr>
      <t>Código de Movimento Remessa:</t>
    </r>
    <r>
      <rPr>
        <sz val="10"/>
        <rFont val="Arial"/>
        <family val="2"/>
      </rPr>
      <t xml:space="preserve">
'01'  =  Entrada de Títulos
</t>
    </r>
  </si>
  <si>
    <r>
      <t xml:space="preserve">
</t>
    </r>
    <r>
      <rPr>
        <b/>
        <sz val="10"/>
        <rFont val="Arial"/>
        <family val="2"/>
      </rPr>
      <t>Código de Movimento Remessa:</t>
    </r>
    <r>
      <rPr>
        <sz val="10"/>
        <rFont val="Arial"/>
        <family val="2"/>
      </rPr>
      <t xml:space="preserve">
'01'  =  Entrada de Títulos
</t>
    </r>
  </si>
  <si>
    <r>
      <t xml:space="preserve">
</t>
    </r>
    <r>
      <rPr>
        <b/>
        <sz val="10"/>
        <rFont val="Arial"/>
        <family val="2"/>
      </rPr>
      <t xml:space="preserve">Código de Movimento Remessa:
</t>
    </r>
    <r>
      <rPr>
        <sz val="10"/>
        <rFont val="Arial"/>
        <family val="2"/>
      </rPr>
      <t xml:space="preserve">
'01'  =  Entrada de Títulos
</t>
    </r>
  </si>
  <si>
    <t xml:space="preserve">Código do Juros de Mora:
'0'  =  Isento
'1'  =  Valor por Dia
'2'  =  Taxa Mensal
</t>
  </si>
  <si>
    <t>Código da Multa:
'0'  =  Isento
'1'  =  Valor Fixo
'2'  =  Percentual</t>
  </si>
  <si>
    <t>Preencher com as características da carteira do Beneficiário.</t>
  </si>
  <si>
    <t>Dados do Beneficiário</t>
  </si>
  <si>
    <t>Código do beneficiário/cliente - verificar na planilha "Capa" deste arquivo</t>
  </si>
  <si>
    <t>Valor do boleto - Em casos de cobrança com valor em aberto (o valor a ser pago é preenchido pelo próprio pagador) ou cobrança em moeda variável, deve ser preenchido com zeros</t>
  </si>
  <si>
    <t>Código do Cliente/Beneficiário: vide planilha "Capa" deste arquivo</t>
  </si>
  <si>
    <t>Nome do Beneficiário: vide planilha "Capa" deste arquivo</t>
  </si>
  <si>
    <t xml:space="preserve">Tipo de Inscrição do Beneficiário:
"01" = CPF
"02" = CNPJ  </t>
  </si>
  <si>
    <t>Número do CPF/CNPJ do Beneficiário</t>
  </si>
  <si>
    <t>Número do Convênio de Cobrança do Beneficiário: "000000"</t>
  </si>
  <si>
    <t>Nosso Número:
- Para comando 01 com emissão a cargo do Sicoob (vide planilha "Capa" deste arquivo e lista de comandos seq. 23): Preencher com zeros
- Para comando 01 com emissão a cargo do Beneficiário ou para os demais comandos (vide planilha "Capa" deste arquivo e lista de comandos seq. 23): 
Preencher da seguinte forma:
- Posição 063 a 073 – Número seqüencial a partir de "0000000001", não sendo admitida reutilização ou duplicidade.
- Posição 074 a 074 – DV do Nosso-Número, calculado pelo módulo 11.</t>
  </si>
  <si>
    <t>IMPLANTAÇÃO DE SISTEMA PRÓPRIO</t>
  </si>
  <si>
    <t>Dados do Desenvolvedor do Sistema Próprio do Beneficiário</t>
  </si>
  <si>
    <t>Mensagem responsabilidade Beneficiário:
Quando o SEQ 34 = "01" e o SEQ 35 = "01", preencher com mensagens/intruções de responsabilidade do Beneficiário
Quando o SEQ 34 e SEQ 35 forem preenchidos com valores diferentes destes, preencher com Brancos</t>
  </si>
  <si>
    <t>Último Nosso Número Beneficiário</t>
  </si>
  <si>
    <t>Nome do Beneficiário</t>
  </si>
  <si>
    <t>Empresa - Beneficiário que firmou o convênio de prestação de serviços com o Sicoob</t>
  </si>
  <si>
    <t>Conta Corrente (Empresa) - Número da conta do corrente do convênio firmado entre Sicoob e Beneficiário para a prestação do serviço de cobrança.</t>
  </si>
  <si>
    <t>Número Remessa/Retorno: Número adotado e controlado pelo responsável pela geração magnética dos dados contidos no arquivo para identificar a seqüência de envio ou devolução do arquivo entre o Beneficiário e o Sicoob.</t>
  </si>
  <si>
    <t>Nosso Número:
- Se emissão a cargo do Sicoob (vide planilha "Capa" deste arquivo):
      NumTitulo - 10 posições (1 a 10) = Zeros
      Parcela - 02 posições (11 a 12) - "01" se parcela única
      Modalidade - 02 posições (13 a 14) - vide planilha "Capa" deste arquivo
      Tipo Formulário - 01 posição  (15 a 15):
          "1" -auto-copiativo
          "3"-auto-envelopável
          "4"-A4 sem envelopamento
          "6"-A4 sem envelopamento 3 vias
     Em branco - 05 posições (16 a 20)
- Se emissão a cargo do Beneficiário (vide planilha "Capa" deste arquivo):
     NumTitulo - 10 posições (1 a 10): Vide planilha "02.Especificações do Boleto" deste arquivo item 3.13
     Parcela - 02 posições (11 a 12) - "01" se parcela única
     Modalidade - 02 posições (13 a 14) - vide planilha "Capa" deste arquivo
     Tipo Formulário - 01 posição  (15 a 15):
          "1" -auto-copiativo
          "3"-auto-envelopável
          "4"-A4 sem envelopamento
          "6"-A4 sem envelopamento 3 vias
     Em branco - 05 posições (16 a 20)</t>
  </si>
  <si>
    <t>Identificação da Emissão do Boleto: (vide planilha "Capa" deste arquivo)
'1'  =  Sicoob Emite
'2'  =  Beneficiário Emite</t>
  </si>
  <si>
    <t>Identificação da Distribuição do Boleto: (vide planilha "Capa" deste arquivo)
'1'  =  Sicoob Distribui
'2'  =  Beneficiário Distribui</t>
  </si>
  <si>
    <t>Uso Empresa Beneficiário</t>
  </si>
  <si>
    <t>Identificação do Título na Empresa: Campo destinado para uso do Beneficiário para identificação do Título.</t>
  </si>
  <si>
    <t>Cód. Bco. Corresp. na Compensação:
Caso o Beneficiário não tenha contratado a opção de Banco Correspondente com o Sicoob, preencher com "000";
Caso o Beneficiário tenha contratado a opção de Banco Correspondente com o Sicoob e a emissão seja a cargo do Sicoob (SEQ 17.3.P do Segmento P do Detalhe), preencher com "001" (Banco do Brasil)</t>
  </si>
  <si>
    <t xml:space="preserve">Tipo de Inscrição do Pagador:
"01" = CPF
"02" = CNPJ </t>
  </si>
  <si>
    <t>Número do CNPJ ou CPF do Pagador</t>
  </si>
  <si>
    <t>Nome do Pagador</t>
  </si>
  <si>
    <t>Endereço do Pagador</t>
  </si>
  <si>
    <t>Bairro do Pagador</t>
  </si>
  <si>
    <t>CEP do Pagador</t>
  </si>
  <si>
    <t>Cidade do Pagador</t>
  </si>
  <si>
    <t>UF do Pagador</t>
  </si>
  <si>
    <t>Abatimento não aproveitado pelo Pagador</t>
  </si>
  <si>
    <t>CPF/CNPJ do Pagador</t>
  </si>
  <si>
    <t>Identific. de Título Aceito/Não Aceito: Código adotado pela FEBRABAN para identificar se o título de cobrança foi aceito (reconhecimento da dívida pelo Pagador).
'A'  =  Aceite
'N'  =  Não Aceite</t>
  </si>
  <si>
    <t>Dados do Pagador</t>
  </si>
  <si>
    <t>Tipo de Inscrição Pagador:
'1'  =  CPF
'2'  =  CGC / CNPJ</t>
  </si>
  <si>
    <t>Informação ao Pagador</t>
  </si>
  <si>
    <t>Informação ao Pagador: Brancos</t>
  </si>
  <si>
    <t>Cod. Ocor. Pagador</t>
  </si>
  <si>
    <t>Cód. Ocor. do Pagador: "00000000"</t>
  </si>
  <si>
    <t xml:space="preserve">Código de Movimento de Retorno
'02' = Entrada Confirmada
'03' = Entrada Rejeitada
'04' = Transferência de Carteira/Entrada
'05' = Transferência de Carteira/Baixa
'06' = Liquidação
'07' = Confirmação do Recebimento da Instrução de Desconto
'08' = Confirmação do Recebimento do Cancelamento do Desconto
'09' = Baixa
'11' = Títulos em Carteira (Em Ser)
'12' = Confirmação Recebimento Instrução de Abatimento
'13' = Confirmação Recebimento Instrução de Cancelamento Abatimento
'14' = Confirmação Recebimento Instrução Alteração de Vencimento
'15' = Franco de Pagamento
'17' = Liquidação Após Baixa ou Liquidação Título Não Registrado
'19' = Confirmação Recebimento Instrução de Protesto
'20' = Confirmação Recebimento Instrução de Sustação/Cancelamento de Protesto
'23' = Remessa a Cartório (Aponte em Cartório)
'24' = Retirada de Cartório e Manutenção em Carteira
'25' = Protestado e Baixado (Baixa por Ter Sido Protestado)
'26' = Instrução Rejeitada
'27' = Confirmação do Pedido de Alteração de Outros Dados
'28' = Débito de Tarifas/Custas
'29' = Ocorrências do Pagador
'30' = Alteração de Dados Rejeitada
'33' = Confirmação da Alteração dos Dados do Rateio de Crédito
'34' = Confirmação do Cancelamento dos Dados do Rateio de Crédito
'35' = Confirmação do Desagendamento do Débito Automático
'36' = Confirmação de envio de e-mail/SMS
'37' = Envio de e-mail/SMS rejeitado
'38' = Confirmação de alteração do Prazo Limite de Recebimento (a data deve ser
'39' = Confirmação de Dispensa de Prazo Limite de Recebimento
</t>
  </si>
  <si>
    <t>Valor do pagamento efetuado pelo Pagador referente ao título de cobrança, expresso em
moeda corrente.</t>
  </si>
  <si>
    <t>Ocorr. do Pagador</t>
  </si>
  <si>
    <t>Cód. Bco. Corresp. na Compensação: Caso o Beneficiário não tenha contratado a opção de Banco Correspondente com o Sicoob, virá preenchido com '756';
Caso o Beneficiário tenha contratado a opção de Banco Correspondente com o Sicoob virá preenchido com '001' (Banco do Brasil)</t>
  </si>
  <si>
    <t>Código de Movimento de Retorno
'02' = Entrada Confirmada
'03' = Entrada Rejeitada
'04' = Transferência de Carteira/Entrada
'05' = Transferência de Carteira/Baixa
'06' = Liquidação
'07' = Confirmação do Recebimento da Instrução de Desconto
'08' = Confirmação do Recebimento do Cancelamento do Desconto
'09' = Baixa
'11' = Títulos em Carteira (Em Ser)
'12' = Confirmação Recebimento Instrução de Abatimento
'13' = Confirmação Recebimento Instrução de Cancelamento Abatimento
'14' = Confirmação Recebimento Instrução Alteração de Vencimento
'15' = Franco de Pagamento
'17' = Liquidação Após Baixa ou Liquidação Título Não Registrado
'19' = Confirmação Recebimento Instrução de Protesto
'20' = Confirmação Recebimento Instrução de Sustação/Cancelamento de Protesto
'23' = Remessa a Cartório (Aponte em Cartório)
'24' = Retirada de Cartório e Manutenção em Carteira
'25' = Protestado e Baixado (Baixa por Ter Sido Protestado)
'26' = Instrução Rejeitada
'27' = Confirmação do Pedido de Alteração de Outros Dados
'28' = Débito de Tarifas/Custas
'29' = Ocorrências do Pagador
'30' = Alteração de Dados Rejeitada
'33' = Confirmação da Alteração dos Dados do Rateio de Crédito
'34' = Confirmação do Cancelamento dos Dados do Rateio de Crédito
'35' = Confirmação do Desagendamento do Débito Automático
‘36’ = Confirmação de envio de e-mail/SMS
‘37’ = Envio de e-mail/SMS rejeitado
‘38’ = Confirmação de alteração do Prazo Limite de Recebimento (a data deve ser
‘39’ = Confirmação de Dispensa de Prazo Limite de Recebimento
‘40’ = Confirmação da alteração do número do título dado pelo Beneficiário
‘41’ = Confirmação da alteração do número controle do Participante
‘42’ = Confirmação da alteração dos dados do Pagador
‘43’ = Confirmação da alteração dos dados do Pagadorr/Avalista
‘44’ = Título pago com cheque devolvido
‘45’ = Título pago com cheque compensado
‘46’ = Instrução para cancelar protesto confirmada
‘47’ = Instrução para protesto para fins falimentares confirmada
‘48’ = Confirmação de instrução de transferência de carteira/modalidade de cobrança
‘49’ = Alteração de contrato de cobrança
‘50’ = Título pago com cheque pendente de liquidação
‘51’ = Título DDA reconhecido pelo Pagador
‘52’ = Título DDA não reconhecido pelo Pagador
‘53’ = Título DDA recusado pela CIP
‘54’ = Confirmação da Instrução de Baixa de Título Negativado sem Protesto
‘55’ = Confirmação de Pedido de Dispensa de Multa
‘56’ = Confirmação do Pedido de Cobrança de Multa
‘57’ = Confirmação do Pedido de Alteração de Cobrança de Juros
‘58’ = Confirmação do Pedido de Alteração do Valor/Data de Desconto
‘59’ = Confirmação do Pedido de Alteração do Beneficiário do Título
‘60’ = Confirmação do Pedido de Dispensa de Juros de Mora"</t>
  </si>
  <si>
    <t>Nosso Número:
- Se emissão a cargo do Sicoob (vide planilha "Capa" deste arquivo): Brancos
- Se emissão a cargo do Beneficiário (vide planilha "Capa" deste arquivo):
     NumTitulo - 10 posições (1 a 10) 
     Parcela - 02 posições (11 a 12) - "01" se parcela única
     Modalidade - 02 posições (13 a 14) - vide planilha "Capa" deste arquivo
     Tipo Formulário - 01 posição  (15 a 15):
          "1" -auto-copiativo
          "3"-auto-envelopável
          "4"-A4 sem envelopamento
          "6"-A4 sem envelopamento 3 vias
     Em branco - 05 posições (16 a 20)</t>
  </si>
  <si>
    <t>Uso Empresa Beneficiário: Identificação do Título na Empresa: Campo destinado para uso do Beneficiário para identificação do Título.</t>
  </si>
  <si>
    <t>Nº do Contr. da Operação de Crédito: Número adotado pela Empresa Beneficiária para identificação do número do contrato.</t>
  </si>
  <si>
    <t>'40' = Confirmação da alteração do número do título dado pelo beneficiário
'41' = Confirmação da alteração do número controle do Participante
'42' = Confirmação da alteração dos dados do Pagador
'43' = Confirmação da alteração dos dados do Sacador/Avalista
'44' = Título pago com cheque devolvido
'45' = Título pago com cheque compensado
'46' = Instrução para cancelar protesto confirmada
'47' = Instrução para protesto para fins falimentares confirmada
'48' = Confirmação de instrução de transferência de carteira/modalidade de cobrança
'49' = Alteração de contrato de cobrança
'50' = Título pago com cheque pendente de liquidação
'51' = Título DDA reconhecido pelo pagador
'52' = Título DDA não reconhecido pelo pagador
'53' = Título DDA recusado pela CIP
'54' = Confirmação da Instrução de Baixa de Título Negativado sem Protesto
'55' = Confirmação de Pedido de Dispensa de Multa
'56' = Confirmação do Pedido de Cobrança de Multa
'57' = Confirmação do Pedido de Alteração de Cobrança de Juros
'58' = Confirmação do Pedido de Alteração do Valor/Data de Desconto
'59' = Confirmação do Pedido de Alteração do Beneficiário do Título
'60' = Confirmação do Pedido de Dispensa de Juros de Mora</t>
  </si>
  <si>
    <t>Código do Cliente</t>
  </si>
  <si>
    <r>
      <rPr>
        <sz val="10"/>
        <color indexed="10"/>
        <rFont val="Arial"/>
        <family val="2"/>
      </rPr>
      <t>(B)</t>
    </r>
    <r>
      <rPr>
        <sz val="10"/>
        <rFont val="Arial"/>
        <family val="2"/>
      </rPr>
      <t xml:space="preserve">
</t>
    </r>
    <r>
      <rPr>
        <b/>
        <u/>
        <sz val="10"/>
        <rFont val="Arial"/>
        <family val="2"/>
      </rPr>
      <t>3.4. Local de Pagamento</t>
    </r>
    <r>
      <rPr>
        <b/>
        <sz val="10"/>
        <rFont val="Arial"/>
        <family val="2"/>
      </rPr>
      <t xml:space="preserve">: </t>
    </r>
    <r>
      <rPr>
        <sz val="10"/>
        <rFont val="Arial"/>
        <family val="2"/>
      </rPr>
      <t xml:space="preserve">Deve apresentar a expressão “Pagável em qualquer banco até o vencimento”.
</t>
    </r>
    <r>
      <rPr>
        <b/>
        <u/>
        <sz val="10"/>
        <rFont val="Arial"/>
        <family val="2"/>
      </rPr>
      <t>3.5. Vencimento</t>
    </r>
    <r>
      <rPr>
        <b/>
        <sz val="10"/>
        <rFont val="Arial"/>
        <family val="2"/>
      </rPr>
      <t>:</t>
    </r>
    <r>
      <rPr>
        <sz val="10"/>
        <rFont val="Arial"/>
        <family val="2"/>
      </rPr>
      <t xml:space="preserve"> Indique a data de vencimento do boleto. A data informada deve estar de acordo com o “Fator de Vencimento” informado no código de barras/linha digitável.
</t>
    </r>
    <r>
      <rPr>
        <sz val="10"/>
        <color indexed="10"/>
        <rFont val="Arial"/>
        <family val="2"/>
      </rPr>
      <t>(C)</t>
    </r>
    <r>
      <rPr>
        <sz val="10"/>
        <rFont val="Arial"/>
        <family val="2"/>
      </rPr>
      <t xml:space="preserve">
</t>
    </r>
    <r>
      <rPr>
        <b/>
        <u/>
        <sz val="10"/>
        <rFont val="Arial"/>
        <family val="2"/>
      </rPr>
      <t>3.6. Beneficiário</t>
    </r>
    <r>
      <rPr>
        <b/>
        <sz val="10"/>
        <rFont val="Arial"/>
        <family val="2"/>
      </rPr>
      <t>:</t>
    </r>
    <r>
      <rPr>
        <sz val="10"/>
        <rFont val="Arial"/>
        <family val="2"/>
      </rPr>
      <t xml:space="preserve"> Informar o nome, razão social ou nome fantasia da Empresa Contratante do serviço Cobrança Bancária.
</t>
    </r>
    <r>
      <rPr>
        <b/>
        <u/>
        <sz val="10"/>
        <rFont val="Arial"/>
        <family val="2"/>
      </rPr>
      <t>3.7. Agência/Código do Beneficiário:</t>
    </r>
    <r>
      <rPr>
        <sz val="10"/>
        <rFont val="Arial"/>
        <family val="2"/>
      </rPr>
      <t xml:space="preserve"> Informar o prefixo da agência e o código de associado/cliente. Estes dados constam na planilha "Capa" deste arquivo. O código de cliente não deve ser confundido com o número da conta corrente, pois são códigos diferentes.
</t>
    </r>
    <r>
      <rPr>
        <sz val="10"/>
        <color indexed="10"/>
        <rFont val="Arial"/>
        <family val="2"/>
      </rPr>
      <t>(D)</t>
    </r>
    <r>
      <rPr>
        <sz val="10"/>
        <rFont val="Arial"/>
        <family val="2"/>
      </rPr>
      <t xml:space="preserve">
</t>
    </r>
    <r>
      <rPr>
        <b/>
        <u/>
        <sz val="10"/>
        <rFont val="Arial"/>
        <family val="2"/>
      </rPr>
      <t>3.8. Data do documento:</t>
    </r>
    <r>
      <rPr>
        <sz val="10"/>
        <rFont val="Arial"/>
        <family val="2"/>
      </rPr>
      <t xml:space="preserve"> Indique data de emissão do documento que originou o boleto.
</t>
    </r>
    <r>
      <rPr>
        <b/>
        <u/>
        <sz val="10"/>
        <rFont val="Arial"/>
        <family val="2"/>
      </rPr>
      <t>3.9. Número do documento:</t>
    </r>
    <r>
      <rPr>
        <sz val="10"/>
        <rFont val="Arial"/>
        <family val="2"/>
      </rPr>
      <t xml:space="preserve"> Informe o número do documento/título estabelecido pela empresa quando da emissão da fatura/duplicata, contrato de prestação de serviço, entre outros.
</t>
    </r>
    <r>
      <rPr>
        <b/>
        <u/>
        <sz val="10"/>
        <rFont val="Arial"/>
        <family val="2"/>
      </rPr>
      <t>3.10. Espécie doc:</t>
    </r>
    <r>
      <rPr>
        <sz val="10"/>
        <rFont val="Arial"/>
        <family val="2"/>
      </rPr>
      <t xml:space="preserve"> Informar Tipo de Documento que originou o bloqueto de cobrança (exemplo: DM para Duplicata Mercantil, DS para Duplicata de Serviços, NP para Nota Promissória, etc.).
3.11. Aceite: Informe “N”
</t>
    </r>
    <r>
      <rPr>
        <b/>
        <u/>
        <sz val="10"/>
        <rFont val="Arial"/>
        <family val="2"/>
      </rPr>
      <t>3.12. Data do processamento:</t>
    </r>
    <r>
      <rPr>
        <sz val="10"/>
        <rFont val="Arial"/>
        <family val="2"/>
      </rPr>
      <t xml:space="preserve"> Informe data de impressão do boleto de cobrança.
</t>
    </r>
    <r>
      <rPr>
        <b/>
        <u/>
        <sz val="10"/>
        <rFont val="Arial"/>
        <family val="2"/>
      </rPr>
      <t>3.13. Nosso número:</t>
    </r>
    <r>
      <rPr>
        <sz val="10"/>
        <rFont val="Arial"/>
        <family val="2"/>
      </rPr>
      <t xml:space="preserve"> Código de controle que permite ao Sicoob e à empresa identificar os dados da cobrança que deu origem ao boleto.
Para o cálculo do dígito verificador do nosso número, deverá ser utilizada a fórmula abaixo:
Número da Cooperativa    9(4) – vide planilha "Capa" deste arquivo 
Código do Cliente   9(10) – vide planilha "Capa" deste arquivo
Nosso Número   9(7) – Iniciado em 1
Constante para cálculo  = 3197
a) Concatenar na seqüência completando com zero à esquerda. 
     Ex.:Número da Cooperativa  = 0001
           Número do Cliente  = 1-9
           Nosso Número  = 21
           000100000000190000021
b) Alinhar a constante com a seqüência repetindo de traz para frente.
     Ex.: 000100000000190000021
            319731973197319731973
c) Multiplicar cada componente da seqüência com o seu correspondente da constante e somar os resultados.
     Ex.: 1*7 + 1*3 + 9*1 + 2*7 + 1*3 = 36
d) Calcular o Resto através do Módulo 11.
     Ex.: 36/11 = 3, resto = 3
e) O resto da divisão deverá ser subtraído de 11 achando assim o DV (Se o Resto for igual a 0 ou 1 então o DV é igual a 0).
     Ex.: 11 – 3 = 8, então Nosso Número + DV = 21-8
</t>
    </r>
    <r>
      <rPr>
        <sz val="10"/>
        <color indexed="10"/>
        <rFont val="Arial"/>
        <family val="2"/>
      </rPr>
      <t xml:space="preserve">
(E)</t>
    </r>
    <r>
      <rPr>
        <sz val="10"/>
        <rFont val="Arial"/>
        <family val="2"/>
      </rPr>
      <t xml:space="preserve">
</t>
    </r>
    <r>
      <rPr>
        <b/>
        <u/>
        <sz val="10"/>
        <rFont val="Arial"/>
        <family val="2"/>
      </rPr>
      <t>3.14. Uso do Banco:</t>
    </r>
    <r>
      <rPr>
        <sz val="10"/>
        <rFont val="Arial"/>
        <family val="2"/>
      </rPr>
      <t xml:space="preserve"> Não preencher.
</t>
    </r>
    <r>
      <rPr>
        <b/>
        <u/>
        <sz val="10"/>
        <rFont val="Arial"/>
        <family val="2"/>
      </rPr>
      <t>3.15. Carteira:</t>
    </r>
    <r>
      <rPr>
        <sz val="10"/>
        <rFont val="Arial"/>
        <family val="2"/>
      </rPr>
      <t xml:space="preserve"> Informe código da carteira de cobrança utilizada para a emissão do bloqueto (1 ou 3). Este dado consta na planilha "Capa" deste arquivo.
</t>
    </r>
    <r>
      <rPr>
        <b/>
        <u/>
        <sz val="10"/>
        <rFont val="Arial"/>
        <family val="2"/>
      </rPr>
      <t>3.16. Espécie:</t>
    </r>
    <r>
      <rPr>
        <sz val="10"/>
        <rFont val="Arial"/>
        <family val="2"/>
      </rPr>
      <t xml:space="preserve"> Informe moeda/índice de emissão da fatura/duplicata/contrato (R$, U$$).
</t>
    </r>
    <r>
      <rPr>
        <b/>
        <u/>
        <sz val="10"/>
        <rFont val="Arial"/>
        <family val="2"/>
      </rPr>
      <t>3.17. Quantidade:</t>
    </r>
    <r>
      <rPr>
        <sz val="10"/>
        <rFont val="Arial"/>
        <family val="2"/>
      </rPr>
      <t xml:space="preserve"> Preencher com a quantidade de moeda variável, se for o caso.
</t>
    </r>
    <r>
      <rPr>
        <b/>
        <u/>
        <sz val="10"/>
        <rFont val="Arial"/>
        <family val="2"/>
      </rPr>
      <t>3.18. Valor:</t>
    </r>
    <r>
      <rPr>
        <sz val="10"/>
        <rFont val="Arial"/>
        <family val="2"/>
      </rPr>
      <t xml:space="preserve"> Não preencher.
</t>
    </r>
    <r>
      <rPr>
        <b/>
        <u/>
        <sz val="10"/>
        <rFont val="Arial"/>
        <family val="2"/>
      </rPr>
      <t>3.19. Valor do documento:</t>
    </r>
    <r>
      <rPr>
        <sz val="10"/>
        <rFont val="Arial"/>
        <family val="2"/>
      </rPr>
      <t xml:space="preserve"> Preencha valor correspondente ao Valor da Fatura/Duplicata/Contrato, quando emitido em Real (se utilizar moeda variável/índice econômico, preencher com zeros). No caso de cobrança com registro, o valor informado deve ser igual ao valor registrado no Sicoob.
</t>
    </r>
    <r>
      <rPr>
        <sz val="10"/>
        <color indexed="10"/>
        <rFont val="Arial"/>
        <family val="2"/>
      </rPr>
      <t xml:space="preserve">
(F)
</t>
    </r>
    <r>
      <rPr>
        <sz val="10"/>
        <rFont val="Arial"/>
        <family val="2"/>
      </rPr>
      <t xml:space="preserve">
</t>
    </r>
    <r>
      <rPr>
        <b/>
        <u/>
        <sz val="10"/>
        <rFont val="Arial"/>
        <family val="2"/>
      </rPr>
      <t>3.20. Instruções:</t>
    </r>
    <r>
      <rPr>
        <sz val="10"/>
        <rFont val="Arial"/>
        <family val="2"/>
      </rPr>
      <t xml:space="preserve"> Deve ser usado para indicação das condições de recebimento do título na forma mais objetiva possível. As informações fornecidas neste campo são de exclusiva responsabilidade do benficiário.
</t>
    </r>
    <r>
      <rPr>
        <b/>
        <u/>
        <sz val="10"/>
        <rFont val="Arial"/>
        <family val="2"/>
      </rPr>
      <t>3.21. Desconto:</t>
    </r>
    <r>
      <rPr>
        <sz val="10"/>
        <rFont val="Arial"/>
        <family val="2"/>
      </rPr>
      <t xml:space="preserve"> Não preencher.
</t>
    </r>
    <r>
      <rPr>
        <sz val="10"/>
        <color indexed="10"/>
        <rFont val="Arial"/>
        <family val="2"/>
      </rPr>
      <t xml:space="preserve">
(G)
</t>
    </r>
    <r>
      <rPr>
        <sz val="10"/>
        <rFont val="Arial"/>
        <family val="2"/>
      </rPr>
      <t xml:space="preserve">
</t>
    </r>
    <r>
      <rPr>
        <b/>
        <u/>
        <sz val="10"/>
        <rFont val="Arial"/>
        <family val="2"/>
      </rPr>
      <t>3.22. Outras deduções (abatimento):</t>
    </r>
    <r>
      <rPr>
        <sz val="10"/>
        <rFont val="Arial"/>
        <family val="2"/>
      </rPr>
      <t xml:space="preserve"> Não preencher.
</t>
    </r>
    <r>
      <rPr>
        <sz val="10"/>
        <color indexed="10"/>
        <rFont val="Arial"/>
        <family val="2"/>
      </rPr>
      <t xml:space="preserve">
(H)
</t>
    </r>
    <r>
      <rPr>
        <sz val="10"/>
        <rFont val="Arial"/>
        <family val="2"/>
      </rPr>
      <t xml:space="preserve">
</t>
    </r>
    <r>
      <rPr>
        <b/>
        <u/>
        <sz val="10"/>
        <rFont val="Arial"/>
        <family val="2"/>
      </rPr>
      <t>3.23. Mora/Multas (juros):</t>
    </r>
    <r>
      <rPr>
        <sz val="10"/>
        <rFont val="Arial"/>
        <family val="2"/>
      </rPr>
      <t xml:space="preserve"> Não preencher.
</t>
    </r>
    <r>
      <rPr>
        <sz val="10"/>
        <color indexed="10"/>
        <rFont val="Arial"/>
        <family val="2"/>
      </rPr>
      <t>(I)</t>
    </r>
    <r>
      <rPr>
        <sz val="10"/>
        <rFont val="Arial"/>
        <family val="2"/>
      </rPr>
      <t xml:space="preserve">
</t>
    </r>
    <r>
      <rPr>
        <b/>
        <u/>
        <sz val="10"/>
        <rFont val="Arial"/>
        <family val="2"/>
      </rPr>
      <t>3.24. Outros acréscimos:</t>
    </r>
    <r>
      <rPr>
        <sz val="10"/>
        <rFont val="Arial"/>
        <family val="2"/>
      </rPr>
      <t xml:space="preserve"> Não preencher.
</t>
    </r>
    <r>
      <rPr>
        <sz val="10"/>
        <color indexed="10"/>
        <rFont val="Arial"/>
        <family val="2"/>
      </rPr>
      <t>(J)</t>
    </r>
    <r>
      <rPr>
        <sz val="10"/>
        <rFont val="Arial"/>
        <family val="2"/>
      </rPr>
      <t xml:space="preserve">
</t>
    </r>
    <r>
      <rPr>
        <b/>
        <u/>
        <sz val="10"/>
        <rFont val="Arial"/>
        <family val="2"/>
      </rPr>
      <t>3.25. Valor cobrado:</t>
    </r>
    <r>
      <rPr>
        <sz val="10"/>
        <rFont val="Arial"/>
        <family val="2"/>
      </rPr>
      <t xml:space="preserve"> Não preencher.
</t>
    </r>
    <r>
      <rPr>
        <sz val="10"/>
        <color indexed="10"/>
        <rFont val="Arial"/>
        <family val="2"/>
      </rPr>
      <t>(K)</t>
    </r>
    <r>
      <rPr>
        <sz val="10"/>
        <rFont val="Arial"/>
        <family val="2"/>
      </rPr>
      <t xml:space="preserve">
</t>
    </r>
    <r>
      <rPr>
        <b/>
        <u/>
        <sz val="10"/>
        <rFont val="Arial"/>
        <family val="2"/>
      </rPr>
      <t>3.26. Pagador:</t>
    </r>
    <r>
      <rPr>
        <sz val="10"/>
        <rFont val="Arial"/>
        <family val="2"/>
      </rPr>
      <t xml:space="preserve"> Preencha nome, endereço, cidade, UF e CEP do sacado.
</t>
    </r>
    <r>
      <rPr>
        <b/>
        <u/>
        <sz val="10"/>
        <rFont val="Arial"/>
        <family val="2"/>
      </rPr>
      <t>3.27. CPF/CNPJ:</t>
    </r>
    <r>
      <rPr>
        <sz val="10"/>
        <rFont val="Arial"/>
        <family val="2"/>
      </rPr>
      <t xml:space="preserve"> Preencha o CPF ou CNPJ do pagador.
</t>
    </r>
    <r>
      <rPr>
        <b/>
        <u/>
        <sz val="10"/>
        <rFont val="Arial"/>
        <family val="2"/>
      </rPr>
      <t>3.28. Sacador/avalista:</t>
    </r>
    <r>
      <rPr>
        <sz val="10"/>
        <rFont val="Arial"/>
        <family val="2"/>
      </rPr>
      <t xml:space="preserve"> Preencha nome e CPF/CNPJ do emitente original do documento que originou o boleto de cobrança, quando o boleto estiver sendo emitido por terceiro.
</t>
    </r>
    <r>
      <rPr>
        <sz val="10"/>
        <color indexed="10"/>
        <rFont val="Arial"/>
        <family val="2"/>
      </rPr>
      <t>(L)</t>
    </r>
    <r>
      <rPr>
        <sz val="10"/>
        <rFont val="Arial"/>
        <family val="2"/>
      </rPr>
      <t xml:space="preserve">
</t>
    </r>
    <r>
      <rPr>
        <b/>
        <u/>
        <sz val="10"/>
        <rFont val="Arial"/>
        <family val="2"/>
      </rPr>
      <t>3.29. Código de Barras:</t>
    </r>
    <r>
      <rPr>
        <sz val="10"/>
        <rFont val="Arial"/>
        <family val="2"/>
      </rPr>
      <t xml:space="preserve"> Código de barras do boleto de cobrança, impresso de acordo com as especificações técnicas a seguir:
Tipo: Deve ser utilizado o tipo “2 de 5 intercalado” que tem as seguintes características:
a) cinco barras definem um caracter, sendo duas delas, barras largas;
b) “intercalado” significa que os espaços entre as barras também tem significado de maneira análoga às barras;
c) define apenas caracteres numéricos;
Conteúdo: O código de barras é composto por dois campos:
a) campo obrigatório: determinado pelo BACEN e comum a todos dos bancos;
b) campo livre: determinado por cada banco de acordo com a modalidade de Cobrança utilizada pelo cliente;
     Deve conter 44 posições, disposto da seguinte forma:
     Posição     Tamanho     Conteúdo
     01 a 03      03                    Código do Banco na Câmara de Compensação = '756'
     04 a 04      01                    Código da Moeda = 9 (Real)
     05 a 05      01                    Digito Verificador (DV) do Código de Barras
     06 a 09      04                    Fator de Vencimento
     10 a 19     10                     Valor
     20 a 44     03                     Campo Livre
Composição do Campo Livre no Sicoob:
     Posição     Tamanho     Conteúdo
     20 a 20      01                     Código da carteira de cobrança - vide planilha "Capa" deste arquivo
     21 a 24      04                     Código da agência/cooperativa - verificar na planilha "Capa" deste arquivo
     25 a 26      02                     Código da modalidade - verificar na planilha "Capa" deste arquivo
     27 a 33      07                     Código do associado/cliente - verificar na planilha "Capa" deste arquivo
     34 a 41      08                     Nosso número do boleto
     41 a 44      03                     Número da parcela a que o boleto se refere - "001" se parcela única
Dimensões: Comprimento total igual a 103mm e altura total igual a 13mm.
Local de Impressão na Ficha de Compensação: Na parte inferior do documento, abaixo do quadro de impressão na extremidade esquerda, respeitando o espaço mínimo de 5mm (zona de silêncio) entre a margem esquerda do formulário e o início da impressão do código e a distância mínima de 12mm desde a margem inferior da Ficha de Compensação até o centro do código de barras;
Todas as especificações devem ser atendidas a fim de preservar a leitura do código de barras.
</t>
    </r>
    <r>
      <rPr>
        <b/>
        <u/>
        <sz val="10"/>
        <rFont val="Arial"/>
        <family val="2"/>
      </rPr>
      <t>3.30. Autenticação mecânica - ficha de compensação:</t>
    </r>
    <r>
      <rPr>
        <sz val="10"/>
        <rFont val="Arial"/>
        <family val="2"/>
      </rPr>
      <t xml:space="preserve"> Não Preencher.</t>
    </r>
  </si>
  <si>
    <t xml:space="preserve">Comando/Movimento:
01 = Registro de Títulos
02 = Solicitação de Baixa
04 = Concessão de Abatimento
05 = Cancelamento de Abatimento
06 = Alteração de Vencimento
08 = Alteração de Seu Número
09 = Instrução para Protestar
10 = Instrução para Sustar Protesto
11 = Instrução para Dispensar Juros
12 = Alteração de Pagador
31 = Alteração de Outros Dados
34 = Baixa - Pagamento Direto ao Beneficiário
</t>
  </si>
  <si>
    <t xml:space="preserve">Juros de Mora por Dia/Taxa ao Mês
Valor = R$ ao dia
Taxa = % ao mês
</t>
  </si>
  <si>
    <t>Comando/Movimento:
02 = Confirmação Entrada Título;
05 = Liquidação Sem Registro: Identifica a liquidação de título da modalidade "SEM REGISTRO";
06 = Liquidação Normal: Identificar a liquidação de título de modalidade "REGISTRADA", com exceção dos títulos que forem liquidados em cartório (Cód. de movimento 15=Liquidação em Cartório);
09 = Baixa de Titulo: Identificar as baixas de títulos, com exceção da baixa realizada com o cód. de movimento 10 (Baixa - Pedido Beneficiário);
10 = Baixa Solicitada (Baixa - Pedido Beneficiário): Identificar as baixas de títulos comandadas a pedido do Beneficiário;
11 = Títulos em Ser: Identifica os títulos em carteira, que estiverem com a situação "em abarto" (vencidos e a vencer).
14 = Alteração de Vencimento;
15 = Liquidação em Cartório: Identifica as liquidações dos títulos ocorridas em cartórios de protesto;
23 = Encaminhado a Protesto: Identifica o recebimento da instrução de protesto
27 = Confirmação Alteração Dados.
48 = Confirmação de instrução de transferência de carteira/modalidade de cobrança</t>
  </si>
  <si>
    <t>Mensagem a ser impressa:
Os tipos de impressão 1 e 2 não são utilizadas. Preencher com brancos.</t>
  </si>
  <si>
    <r>
      <t>Nosso Nº no Banco Correspondente: "</t>
    </r>
    <r>
      <rPr>
        <b/>
        <sz val="10"/>
        <rFont val="Arial"/>
        <family val="2"/>
      </rPr>
      <t>1323739</t>
    </r>
    <r>
      <rPr>
        <sz val="10"/>
        <rFont val="Arial"/>
        <family val="2"/>
      </rPr>
      <t xml:space="preserve">"
O campo NN deve ser preenchido, somente nos casos em que o campo anterior tenha indicado o uso do Banco Correspondente.
</t>
    </r>
    <r>
      <rPr>
        <b/>
        <sz val="10"/>
        <rFont val="Arial"/>
        <family val="2"/>
      </rPr>
      <t>Obs.</t>
    </r>
    <r>
      <rPr>
        <sz val="10"/>
        <rFont val="Arial"/>
        <family val="2"/>
      </rPr>
      <t>: O preenchimento deste campo será alinha à esquerda a partir da posição 213 indo até 219.</t>
    </r>
  </si>
  <si>
    <r>
      <rPr>
        <b/>
        <i/>
        <sz val="10"/>
        <rFont val="Arial"/>
        <family val="2"/>
      </rPr>
      <t>Cálculo do digito verificador dos Campos 1, 2 e 3 (módulo 10):</t>
    </r>
    <r>
      <rPr>
        <sz val="10"/>
        <rFont val="Arial"/>
      </rPr>
      <t xml:space="preserve">
Para calcular o dígito verificador da linha digitável deve-se multiplicar cada dígito da linha digitável pelo seu respectivo índice de multiplicação gerando um somatório. Deve-se calcular o dígito através da diferença entre o número múltiplo de 10, igual ou imediatamente superior ao somatório.
a) os multiplicadores começam com o número 2 /dois/, sempre pela direita, alternando-se 1 e 2;
b) multiplicar cada algarismo que compõe o número pelo seu respectivo peso (multiplicador);
c) caso o resultado da multiplicação seja maior que 9 (nove) deverão ser somados os algarismos do produto, até reduzi-lo a um único algarismo:
     a. Exemplo: Resultado igual a 18, então 1+8 = 9
d) subtrair o total apurado no item anterior, da dezena imediatamente superior ao total apurado;
     a. Exemplo: Resultado da soma igual a 25, então 30 - 25 
e) o resultado obtido será o dígito verificador do número;
     a. Exemplo: 30-25 = 5 então 5 é o Dígito Verificador
</t>
    </r>
    <r>
      <rPr>
        <b/>
        <i/>
        <sz val="10"/>
        <rFont val="Arial"/>
        <family val="2"/>
      </rPr>
      <t>Cálculo do fator de vencimento:</t>
    </r>
    <r>
      <rPr>
        <sz val="10"/>
        <rFont val="Arial"/>
      </rPr>
      <t xml:space="preserve">
O fator de vencimento do título é definido pela diferença da data de vencimento do título e a data base (03/07/2000), acrescido de 1000. Caso o titulo não tenha data de vencimento o fator será preenchido com zeros.
fator de vencimento = (data de vencimento) - (03/07/2000) + 1000
</t>
    </r>
    <r>
      <rPr>
        <b/>
        <sz val="10"/>
        <color indexed="10"/>
        <rFont val="Arial"/>
        <family val="2"/>
      </rPr>
      <t>OBSERVAÇÃO IMPORTANTE</t>
    </r>
    <r>
      <rPr>
        <b/>
        <sz val="10"/>
        <rFont val="Arial"/>
        <family val="2"/>
      </rPr>
      <t xml:space="preserve">
</t>
    </r>
    <r>
      <rPr>
        <sz val="10"/>
        <rFont val="Arial"/>
      </rPr>
      <t xml:space="preserve">Em 22/02/2025 o Fator de Vencimento deverá retornar automaticamente para o fator </t>
    </r>
    <r>
      <rPr>
        <b/>
        <sz val="10"/>
        <rFont val="Arial"/>
        <family val="2"/>
      </rPr>
      <t>1000</t>
    </r>
    <r>
      <rPr>
        <sz val="10"/>
        <rFont val="Arial"/>
        <family val="2"/>
      </rPr>
      <t>.</t>
    </r>
    <r>
      <rPr>
        <b/>
        <sz val="10"/>
        <rFont val="Arial"/>
        <family val="2"/>
      </rPr>
      <t xml:space="preserve"> </t>
    </r>
    <r>
      <rPr>
        <sz val="10"/>
        <rFont val="Arial"/>
        <family val="2"/>
      </rPr>
      <t xml:space="preserve">A data de 22/02/2025 </t>
    </r>
    <r>
      <rPr>
        <sz val="10"/>
        <rFont val="Arial"/>
      </rPr>
      <t xml:space="preserve">deverá ser adotada como nova </t>
    </r>
    <r>
      <rPr>
        <b/>
        <sz val="10"/>
        <rFont val="Arial"/>
        <family val="2"/>
      </rPr>
      <t>DATA BASE</t>
    </r>
    <r>
      <rPr>
        <sz val="10"/>
        <rFont val="Arial"/>
      </rPr>
      <t xml:space="preserve"> para o cálculo.
fator de vencimento = (data de vencimento) - (22/02/2025) + 1000
</t>
    </r>
    <r>
      <rPr>
        <b/>
        <i/>
        <sz val="10"/>
        <rFont val="Arial"/>
        <family val="2"/>
      </rPr>
      <t>Cálculo do digito verificador do Código de Barras (módulo 11):</t>
    </r>
    <r>
      <rPr>
        <sz val="10"/>
        <rFont val="Arial"/>
      </rPr>
      <t xml:space="preserve">
Para calcular o dígito verificador do código de barras deve-se multiplicar cada dígito do código de barras pelo seu respectivo índice de multiplicação gerando um somatório. Deve-se calcular o dígito através do módulo 11 do somatório.
a) o índice de multiplicação deve ser gerado com pesos de 2 a 9, da direita para a esquerda sem incluir a posição do dígito verificador. O primeiro dígito da direita para a esquerda será multiplicado por 2, o segundo por 3 e assim sucessivamente;
b) multiplicar cada algarismo que compõe o número pelo seu respectivo peso (multiplicador);
c) os resultados das multiplicações deverão ser somados;
d) o total da soma deverá ser dividido por 11;
     a. Exemplo: 35 / 11 = 3 e resto 2
e) o resto da divisão deverá ser subtraído de 11.
     a. Exemplo:  11 - 2 = 9
f) se o resultado da subtração for igual a 0 (zero), 1 (um) ou maior que 9 (nove) deverão assumir o dígito igual a 1 (um);
g) se não, o resultado da subtração será Dígito Verificador.
</t>
    </r>
  </si>
  <si>
    <t>X(04)</t>
  </si>
  <si>
    <t>Tipo de Emissão:
1 - Cooperativa
2 - Cliente</t>
  </si>
  <si>
    <t>Código do Desconto 2
'0'  =  Não Conceder desconto
'1'  =  Valor Fixo Até a Data Informada
'2'  =  Percentual Até a Data Informada</t>
  </si>
  <si>
    <t>Código do Desconto 3
'0'  =  Não Conceder desconto
'1'  =  Valor Fixo Até a Data Informada
'2'  =  Percentual Até a Data Informada</t>
  </si>
  <si>
    <t>Código do Desconto 1
'0'  =  Não Conceder desconto
'1'  =  Valor Fixo Até a Data Informada
'2'  =  Percentual Até a Data Informada</t>
  </si>
  <si>
    <t>Atualização: 03/04/2014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</si>
</sst>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R$ &quot;* #,##0.00_);_(&quot;R$ &quot;* \(#,##0.00\);_(&quot;R$ &quot;* &quot;-&quot;??_);_(@_)"/>
    <numFmt numFmtId="165" formatCode="0\-0"/>
    <numFmt numFmtId="166" formatCode="000"/>
    <numFmt numFmtId="167" formatCode="[&gt;99999999999]00&quot;.&quot;000&quot;.&quot;000&quot;/&quot;0000&quot;-&quot;00;000&quot;.&quot;000&quot;.&quot;000&quot;-&quot;00"/>
  </numFmts>
  <fonts count="41" x14ac:knownFonts="1">
    <font>
      <sz val="10"/>
      <name val="Arial"/>
    </font>
    <font>
      <sz val="10"/>
      <name val="Arial"/>
      <family val="2"/>
    </font>
    <font>
      <sz val="8"/>
      <name val="Arial"/>
      <family val="2"/>
    </font>
    <font>
      <b/>
      <sz val="10"/>
      <name val="Arial"/>
      <family val="2"/>
    </font>
    <font>
      <b/>
      <sz val="8"/>
      <color indexed="81"/>
      <name val="Tahoma"/>
      <family val="2"/>
    </font>
    <font>
      <sz val="8"/>
      <color indexed="81"/>
      <name val="Tahoma"/>
      <family val="2"/>
    </font>
    <font>
      <b/>
      <sz val="10"/>
      <color indexed="8"/>
      <name val="Arial"/>
      <family val="2"/>
    </font>
    <font>
      <sz val="10"/>
      <name val="Arial"/>
      <family val="2"/>
    </font>
    <font>
      <b/>
      <sz val="10"/>
      <color indexed="10"/>
      <name val="Arial"/>
      <family val="2"/>
    </font>
    <font>
      <u/>
      <sz val="10"/>
      <color indexed="12"/>
      <name val="Arial"/>
      <family val="2"/>
    </font>
    <font>
      <sz val="8"/>
      <color indexed="10"/>
      <name val="Arial"/>
      <family val="2"/>
    </font>
    <font>
      <vertAlign val="superscript"/>
      <sz val="10"/>
      <name val="Arial"/>
      <family val="2"/>
    </font>
    <font>
      <u/>
      <sz val="10"/>
      <name val="Arial"/>
      <family val="2"/>
    </font>
    <font>
      <b/>
      <u/>
      <sz val="10"/>
      <name val="Arial"/>
      <family val="2"/>
    </font>
    <font>
      <sz val="10"/>
      <name val="Arial"/>
      <family val="2"/>
    </font>
    <font>
      <b/>
      <i/>
      <sz val="10"/>
      <name val="Arial"/>
      <family val="2"/>
    </font>
    <font>
      <sz val="10"/>
      <color indexed="10"/>
      <name val="Arial"/>
      <family val="2"/>
    </font>
    <font>
      <b/>
      <sz val="11"/>
      <name val="Arial"/>
      <family val="2"/>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sz val="11"/>
      <color rgb="FF3F3F76"/>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b/>
      <sz val="11"/>
      <color theme="1"/>
      <name val="Calibri"/>
      <family val="2"/>
      <scheme val="minor"/>
    </font>
    <font>
      <sz val="10"/>
      <color theme="0"/>
      <name val="Arial"/>
      <family val="2"/>
    </font>
    <font>
      <sz val="10"/>
      <color rgb="FF000000"/>
      <name val="Arial"/>
      <family val="2"/>
    </font>
    <font>
      <sz val="8"/>
      <color rgb="FF000000"/>
      <name val="Arial"/>
      <family val="2"/>
    </font>
    <font>
      <sz val="10"/>
      <color theme="1"/>
      <name val="Arial"/>
      <family val="2"/>
    </font>
    <font>
      <b/>
      <sz val="10"/>
      <color theme="0"/>
      <name val="Arial"/>
      <family val="2"/>
    </font>
    <font>
      <b/>
      <sz val="9"/>
      <color rgb="FF3366FF"/>
      <name val="Lucida Sans Unicode"/>
      <family val="2"/>
    </font>
  </fonts>
  <fills count="59">
    <fill>
      <patternFill patternType="none"/>
    </fill>
    <fill>
      <patternFill patternType="gray125"/>
    </fill>
    <fill>
      <patternFill patternType="solid">
        <fgColor indexed="46"/>
        <bgColor indexed="64"/>
      </patternFill>
    </fill>
    <fill>
      <patternFill patternType="solid">
        <fgColor indexed="19"/>
        <bgColor indexed="64"/>
      </patternFill>
    </fill>
    <fill>
      <patternFill patternType="solid">
        <fgColor indexed="51"/>
        <bgColor indexed="64"/>
      </patternFill>
    </fill>
    <fill>
      <patternFill patternType="solid">
        <fgColor indexed="49"/>
        <bgColor indexed="64"/>
      </patternFill>
    </fill>
    <fill>
      <patternFill patternType="solid">
        <fgColor indexed="14"/>
        <bgColor indexed="64"/>
      </patternFill>
    </fill>
    <fill>
      <patternFill patternType="solid">
        <fgColor indexed="44"/>
        <bgColor indexed="64"/>
      </patternFill>
    </fill>
    <fill>
      <patternFill patternType="solid">
        <fgColor indexed="45"/>
        <bgColor indexed="64"/>
      </patternFill>
    </fill>
    <fill>
      <patternFill patternType="solid">
        <fgColor indexed="22"/>
        <bgColor indexed="64"/>
      </patternFill>
    </fill>
    <fill>
      <patternFill patternType="solid">
        <fgColor indexed="9"/>
        <bgColor indexed="64"/>
      </patternFill>
    </fill>
    <fill>
      <patternFill patternType="solid">
        <fgColor indexed="22"/>
        <bgColor indexed="8"/>
      </patternFill>
    </fill>
    <fill>
      <patternFill patternType="solid">
        <fgColor indexed="42"/>
        <bgColor indexed="64"/>
      </patternFill>
    </fill>
    <fill>
      <patternFill patternType="solid">
        <fgColor indexed="17"/>
        <bgColor indexed="64"/>
      </patternFill>
    </fill>
    <fill>
      <patternFill patternType="solid">
        <fgColor indexed="43"/>
        <bgColor indexed="64"/>
      </patternFill>
    </fill>
    <fill>
      <patternFill patternType="solid">
        <fgColor indexed="50"/>
        <bgColor indexed="64"/>
      </patternFill>
    </fill>
    <fill>
      <patternFill patternType="solid">
        <fgColor indexed="53"/>
        <bgColor indexed="64"/>
      </patternFill>
    </fill>
    <fill>
      <patternFill patternType="solid">
        <fgColor indexed="55"/>
        <bgColor indexed="64"/>
      </patternFill>
    </fill>
    <fill>
      <patternFill patternType="solid">
        <fgColor indexed="13"/>
        <bgColor indexed="64"/>
      </patternFill>
    </fill>
    <fill>
      <patternFill patternType="solid">
        <fgColor indexed="48"/>
        <bgColor indexed="64"/>
      </patternFill>
    </fill>
    <fill>
      <patternFill patternType="solid">
        <fgColor indexed="62"/>
        <bgColor indexed="64"/>
      </patternFill>
    </fill>
    <fill>
      <patternFill patternType="solid">
        <fgColor indexed="10"/>
        <bgColor indexed="64"/>
      </patternFill>
    </fill>
    <fill>
      <patternFill patternType="solid">
        <fgColor indexed="5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3" tint="0.79998168889431442"/>
        <bgColor indexed="64"/>
      </patternFill>
    </fill>
    <fill>
      <patternFill patternType="solid">
        <fgColor theme="6" tint="-0.499984740745262"/>
        <bgColor indexed="64"/>
      </patternFill>
    </fill>
    <fill>
      <patternFill patternType="solid">
        <fgColor theme="0"/>
        <bgColor indexed="64"/>
      </patternFill>
    </fill>
    <fill>
      <patternFill patternType="solid">
        <fgColor theme="1" tint="0.499984740745262"/>
        <bgColor indexed="64"/>
      </patternFill>
    </fill>
    <fill>
      <patternFill patternType="solid">
        <fgColor theme="0" tint="-0.499984740745262"/>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9"/>
      </left>
      <right style="medium">
        <color indexed="9"/>
      </right>
      <top style="medium">
        <color indexed="9"/>
      </top>
      <bottom style="medium">
        <color indexed="9"/>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style="medium">
        <color indexed="9"/>
      </right>
      <top style="medium">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s>
  <cellStyleXfs count="48">
    <xf numFmtId="0" fontId="0" fillId="0" borderId="0"/>
    <xf numFmtId="0" fontId="18"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18" fillId="31" borderId="0" applyNumberFormat="0" applyBorder="0" applyAlignment="0" applyProtection="0"/>
    <xf numFmtId="0" fontId="18" fillId="32" borderId="0" applyNumberFormat="0" applyBorder="0" applyAlignment="0" applyProtection="0"/>
    <xf numFmtId="0" fontId="18" fillId="33" borderId="0" applyNumberFormat="0" applyBorder="0" applyAlignment="0" applyProtection="0"/>
    <xf numFmtId="0" fontId="18" fillId="34" borderId="0" applyNumberFormat="0" applyBorder="0" applyAlignment="0" applyProtection="0"/>
    <xf numFmtId="0" fontId="19" fillId="35" borderId="0" applyNumberFormat="0" applyBorder="0" applyAlignment="0" applyProtection="0"/>
    <xf numFmtId="0" fontId="19" fillId="36" borderId="0" applyNumberFormat="0" applyBorder="0" applyAlignment="0" applyProtection="0"/>
    <xf numFmtId="0" fontId="19" fillId="37" borderId="0" applyNumberFormat="0" applyBorder="0" applyAlignment="0" applyProtection="0"/>
    <xf numFmtId="0" fontId="19" fillId="38" borderId="0" applyNumberFormat="0" applyBorder="0" applyAlignment="0" applyProtection="0"/>
    <xf numFmtId="0" fontId="19" fillId="39" borderId="0" applyNumberFormat="0" applyBorder="0" applyAlignment="0" applyProtection="0"/>
    <xf numFmtId="0" fontId="19" fillId="40" borderId="0" applyNumberFormat="0" applyBorder="0" applyAlignment="0" applyProtection="0"/>
    <xf numFmtId="0" fontId="20" fillId="41" borderId="0" applyNumberFormat="0" applyBorder="0" applyAlignment="0" applyProtection="0"/>
    <xf numFmtId="0" fontId="21" fillId="42" borderId="47" applyNumberFormat="0" applyAlignment="0" applyProtection="0"/>
    <xf numFmtId="0" fontId="22" fillId="43" borderId="48" applyNumberFormat="0" applyAlignment="0" applyProtection="0"/>
    <xf numFmtId="0" fontId="23" fillId="0" borderId="49" applyNumberFormat="0" applyFill="0" applyAlignment="0" applyProtection="0"/>
    <xf numFmtId="0" fontId="19" fillId="44"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7" borderId="0" applyNumberFormat="0" applyBorder="0" applyAlignment="0" applyProtection="0"/>
    <xf numFmtId="0" fontId="19" fillId="48" borderId="0" applyNumberFormat="0" applyBorder="0" applyAlignment="0" applyProtection="0"/>
    <xf numFmtId="0" fontId="19" fillId="49" borderId="0" applyNumberFormat="0" applyBorder="0" applyAlignment="0" applyProtection="0"/>
    <xf numFmtId="0" fontId="24" fillId="50" borderId="47" applyNumberFormat="0" applyAlignment="0" applyProtection="0"/>
    <xf numFmtId="0" fontId="9" fillId="0" borderId="0" applyNumberFormat="0" applyFill="0" applyBorder="0" applyAlignment="0" applyProtection="0">
      <alignment vertical="top"/>
      <protection locked="0"/>
    </xf>
    <xf numFmtId="0" fontId="25" fillId="51" borderId="0" applyNumberFormat="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26" fillId="52" borderId="0" applyNumberFormat="0" applyBorder="0" applyAlignment="0" applyProtection="0"/>
    <xf numFmtId="0" fontId="18" fillId="0" borderId="0"/>
    <xf numFmtId="0" fontId="1" fillId="0" borderId="0"/>
    <xf numFmtId="0" fontId="14" fillId="0" borderId="0"/>
    <xf numFmtId="0" fontId="18" fillId="53" borderId="50" applyNumberFormat="0" applyFont="0" applyAlignment="0" applyProtection="0"/>
    <xf numFmtId="0" fontId="27" fillId="42" borderId="51"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31" fillId="0" borderId="52" applyNumberFormat="0" applyFill="0" applyAlignment="0" applyProtection="0"/>
    <xf numFmtId="0" fontId="32" fillId="0" borderId="53" applyNumberFormat="0" applyFill="0" applyAlignment="0" applyProtection="0"/>
    <xf numFmtId="0" fontId="33" fillId="0" borderId="54" applyNumberFormat="0" applyFill="0" applyAlignment="0" applyProtection="0"/>
    <xf numFmtId="0" fontId="33" fillId="0" borderId="0" applyNumberFormat="0" applyFill="0" applyBorder="0" applyAlignment="0" applyProtection="0"/>
    <xf numFmtId="0" fontId="34" fillId="0" borderId="55" applyNumberFormat="0" applyFill="0" applyAlignment="0" applyProtection="0"/>
  </cellStyleXfs>
  <cellXfs count="457">
    <xf numFmtId="0" fontId="0" fillId="0" borderId="0" xfId="0"/>
    <xf numFmtId="0" fontId="0" fillId="0" borderId="0" xfId="0" applyAlignment="1"/>
    <xf numFmtId="0" fontId="0" fillId="0" borderId="1" xfId="0" applyBorder="1"/>
    <xf numFmtId="0" fontId="3" fillId="0" borderId="1"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0" xfId="0" applyBorder="1" applyAlignment="1"/>
    <xf numFmtId="0" fontId="3" fillId="0" borderId="6" xfId="0" applyFont="1" applyBorder="1"/>
    <xf numFmtId="0" fontId="3" fillId="0" borderId="11" xfId="0" applyFont="1" applyBorder="1" applyAlignment="1">
      <alignment horizontal="right"/>
    </xf>
    <xf numFmtId="0" fontId="3" fillId="0" borderId="2" xfId="0" applyFont="1" applyBorder="1" applyAlignment="1">
      <alignment horizontal="right"/>
    </xf>
    <xf numFmtId="0" fontId="0" fillId="0" borderId="12" xfId="0" applyBorder="1" applyAlignment="1">
      <alignment horizontal="right"/>
    </xf>
    <xf numFmtId="0" fontId="3" fillId="0" borderId="11" xfId="0" applyFont="1" applyBorder="1" applyAlignment="1"/>
    <xf numFmtId="0" fontId="3" fillId="0" borderId="2" xfId="0" applyFont="1" applyBorder="1" applyAlignment="1"/>
    <xf numFmtId="0" fontId="3" fillId="0" borderId="2" xfId="0" applyFont="1" applyFill="1" applyBorder="1" applyAlignment="1">
      <alignment horizontal="right"/>
    </xf>
    <xf numFmtId="0" fontId="0" fillId="0" borderId="10" xfId="0" applyFill="1" applyBorder="1"/>
    <xf numFmtId="0" fontId="3" fillId="0" borderId="0" xfId="0" applyFont="1"/>
    <xf numFmtId="0" fontId="7" fillId="0" borderId="1" xfId="0" applyFont="1" applyBorder="1"/>
    <xf numFmtId="0" fontId="7" fillId="0" borderId="0" xfId="0" applyFont="1"/>
    <xf numFmtId="0" fontId="7" fillId="0" borderId="12" xfId="0" applyFont="1" applyBorder="1" applyAlignment="1">
      <alignment horizontal="right"/>
    </xf>
    <xf numFmtId="0" fontId="7" fillId="0" borderId="8" xfId="0" applyFont="1" applyBorder="1" applyAlignment="1">
      <alignment horizontal="right"/>
    </xf>
    <xf numFmtId="0" fontId="7" fillId="0" borderId="9" xfId="0" applyFont="1" applyBorder="1" applyAlignment="1">
      <alignment horizontal="right"/>
    </xf>
    <xf numFmtId="0" fontId="7" fillId="0" borderId="0" xfId="0" applyFont="1" applyAlignment="1">
      <alignment horizontal="right"/>
    </xf>
    <xf numFmtId="0" fontId="0" fillId="0" borderId="0" xfId="0" applyFill="1" applyAlignment="1">
      <alignment horizontal="right"/>
    </xf>
    <xf numFmtId="0" fontId="0" fillId="0" borderId="0" xfId="0" applyAlignment="1">
      <alignment horizontal="right"/>
    </xf>
    <xf numFmtId="2" fontId="0" fillId="0" borderId="0" xfId="0" applyNumberFormat="1" applyAlignment="1">
      <alignment horizontal="right"/>
    </xf>
    <xf numFmtId="1" fontId="0" fillId="0" borderId="0" xfId="0" applyNumberFormat="1" applyAlignment="1">
      <alignment horizontal="right"/>
    </xf>
    <xf numFmtId="0" fontId="8" fillId="0" borderId="0" xfId="0" applyFont="1" applyAlignment="1">
      <alignment horizontal="right"/>
    </xf>
    <xf numFmtId="1" fontId="7" fillId="0" borderId="0" xfId="0" applyNumberFormat="1" applyFont="1" applyAlignment="1">
      <alignment horizontal="right"/>
    </xf>
    <xf numFmtId="0" fontId="7" fillId="0" borderId="0" xfId="0" applyFont="1" applyFill="1" applyBorder="1"/>
    <xf numFmtId="14" fontId="7" fillId="0" borderId="0" xfId="0" applyNumberFormat="1" applyFont="1" applyAlignment="1">
      <alignment horizontal="right"/>
    </xf>
    <xf numFmtId="166" fontId="7" fillId="0" borderId="0" xfId="0" applyNumberFormat="1" applyFont="1" applyAlignment="1">
      <alignment horizontal="right"/>
    </xf>
    <xf numFmtId="0" fontId="3" fillId="0" borderId="0" xfId="0" applyFont="1" applyFill="1" applyBorder="1"/>
    <xf numFmtId="0" fontId="7" fillId="0" borderId="1" xfId="0" applyFont="1" applyFill="1" applyBorder="1"/>
    <xf numFmtId="49" fontId="7" fillId="0" borderId="0" xfId="0" applyNumberFormat="1" applyFont="1" applyFill="1" applyBorder="1" applyAlignment="1"/>
    <xf numFmtId="1" fontId="7" fillId="0" borderId="1" xfId="0" applyNumberFormat="1" applyFont="1" applyBorder="1" applyAlignment="1">
      <alignment horizontal="right"/>
    </xf>
    <xf numFmtId="1" fontId="3" fillId="0" borderId="1" xfId="0" applyNumberFormat="1" applyFont="1" applyBorder="1" applyAlignment="1">
      <alignment horizontal="center"/>
    </xf>
    <xf numFmtId="0" fontId="7" fillId="0" borderId="10" xfId="0" applyFont="1" applyFill="1" applyBorder="1"/>
    <xf numFmtId="0" fontId="0" fillId="0" borderId="12" xfId="0" applyFill="1" applyBorder="1" applyAlignment="1">
      <alignment horizontal="right"/>
    </xf>
    <xf numFmtId="0" fontId="0" fillId="0" borderId="8" xfId="0" applyFill="1" applyBorder="1" applyAlignment="1">
      <alignment horizontal="right"/>
    </xf>
    <xf numFmtId="0" fontId="0" fillId="0" borderId="9" xfId="0" applyFill="1" applyBorder="1" applyAlignment="1">
      <alignment horizontal="right"/>
    </xf>
    <xf numFmtId="0" fontId="0" fillId="0" borderId="13" xfId="0" applyFill="1" applyBorder="1" applyAlignment="1">
      <alignment horizontal="right"/>
    </xf>
    <xf numFmtId="0" fontId="3" fillId="0" borderId="0" xfId="0" applyFont="1" applyBorder="1" applyAlignment="1"/>
    <xf numFmtId="0" fontId="6" fillId="0" borderId="0" xfId="0" applyFont="1" applyBorder="1" applyAlignment="1">
      <alignment horizontal="right"/>
    </xf>
    <xf numFmtId="0" fontId="6" fillId="0" borderId="14" xfId="0" applyFont="1" applyBorder="1" applyAlignment="1">
      <alignment horizontal="right"/>
    </xf>
    <xf numFmtId="0" fontId="3" fillId="0" borderId="14" xfId="0" applyFont="1" applyBorder="1" applyAlignment="1">
      <alignment horizontal="right"/>
    </xf>
    <xf numFmtId="0" fontId="0" fillId="0" borderId="0" xfId="0" applyBorder="1" applyAlignment="1">
      <alignment horizontal="right"/>
    </xf>
    <xf numFmtId="0" fontId="7" fillId="2" borderId="15" xfId="0" applyFont="1" applyFill="1" applyBorder="1" applyAlignment="1">
      <alignment horizontal="left" textRotation="90" wrapText="1"/>
    </xf>
    <xf numFmtId="0" fontId="7" fillId="3" borderId="15" xfId="0" applyFont="1" applyFill="1" applyBorder="1" applyAlignment="1">
      <alignment horizontal="left" textRotation="90" wrapText="1"/>
    </xf>
    <xf numFmtId="0" fontId="7" fillId="0" borderId="0" xfId="0" applyFont="1" applyAlignment="1">
      <alignment horizontal="left"/>
    </xf>
    <xf numFmtId="0" fontId="7" fillId="4" borderId="4" xfId="0" applyFont="1" applyFill="1" applyBorder="1" applyAlignment="1">
      <alignment horizontal="left"/>
    </xf>
    <xf numFmtId="0" fontId="7" fillId="0" borderId="4" xfId="0" applyFont="1" applyBorder="1" applyAlignment="1">
      <alignment horizontal="left"/>
    </xf>
    <xf numFmtId="0" fontId="0" fillId="0" borderId="8" xfId="0" applyBorder="1" applyAlignment="1">
      <alignment horizontal="right"/>
    </xf>
    <xf numFmtId="0" fontId="0" fillId="0" borderId="9" xfId="0" applyBorder="1" applyAlignment="1">
      <alignment horizontal="right"/>
    </xf>
    <xf numFmtId="0" fontId="0" fillId="0" borderId="13" xfId="0" applyBorder="1" applyAlignment="1">
      <alignment horizontal="right"/>
    </xf>
    <xf numFmtId="0" fontId="0" fillId="2" borderId="15" xfId="0" applyFill="1" applyBorder="1" applyAlignment="1">
      <alignment horizontal="center" textRotation="90"/>
    </xf>
    <xf numFmtId="1" fontId="3" fillId="0" borderId="2" xfId="0" applyNumberFormat="1" applyFont="1" applyBorder="1" applyAlignment="1">
      <alignment horizontal="center"/>
    </xf>
    <xf numFmtId="1" fontId="7" fillId="0" borderId="0" xfId="0" applyNumberFormat="1" applyFont="1" applyBorder="1" applyAlignment="1">
      <alignment horizontal="right"/>
    </xf>
    <xf numFmtId="0" fontId="7" fillId="0" borderId="0" xfId="0" applyFont="1" applyFill="1" applyBorder="1" applyAlignment="1"/>
    <xf numFmtId="1" fontId="7" fillId="0" borderId="16" xfId="0" applyNumberFormat="1" applyFont="1" applyBorder="1" applyAlignment="1">
      <alignment horizontal="right"/>
    </xf>
    <xf numFmtId="1" fontId="7" fillId="0" borderId="17" xfId="0" applyNumberFormat="1" applyFont="1" applyBorder="1" applyAlignment="1">
      <alignment horizontal="right"/>
    </xf>
    <xf numFmtId="0" fontId="7" fillId="0" borderId="18" xfId="0" applyFont="1" applyBorder="1" applyAlignment="1">
      <alignment horizontal="center"/>
    </xf>
    <xf numFmtId="0" fontId="7" fillId="0" borderId="19" xfId="0" applyFont="1" applyBorder="1" applyAlignment="1">
      <alignment horizontal="center"/>
    </xf>
    <xf numFmtId="0" fontId="7" fillId="0" borderId="20" xfId="0" applyFont="1" applyBorder="1" applyAlignment="1">
      <alignment horizontal="center"/>
    </xf>
    <xf numFmtId="1" fontId="7" fillId="0" borderId="21" xfId="0" applyNumberFormat="1" applyFont="1" applyBorder="1" applyAlignment="1">
      <alignment horizontal="right"/>
    </xf>
    <xf numFmtId="0" fontId="7" fillId="0" borderId="22" xfId="0" applyFont="1" applyBorder="1" applyAlignment="1">
      <alignment horizontal="center"/>
    </xf>
    <xf numFmtId="1" fontId="7" fillId="0" borderId="2" xfId="0" applyNumberFormat="1" applyFont="1" applyBorder="1" applyAlignment="1">
      <alignment horizontal="right"/>
    </xf>
    <xf numFmtId="0" fontId="7" fillId="0" borderId="2" xfId="0" applyFont="1" applyBorder="1" applyAlignment="1">
      <alignment horizontal="center"/>
    </xf>
    <xf numFmtId="0" fontId="7" fillId="4" borderId="15" xfId="0" applyFont="1" applyFill="1" applyBorder="1" applyAlignment="1">
      <alignment textRotation="90"/>
    </xf>
    <xf numFmtId="0" fontId="7" fillId="5" borderId="15" xfId="0" applyFont="1" applyFill="1" applyBorder="1" applyAlignment="1">
      <alignment textRotation="90"/>
    </xf>
    <xf numFmtId="0" fontId="7" fillId="6" borderId="15" xfId="0" applyFont="1" applyFill="1" applyBorder="1" applyAlignment="1">
      <alignment textRotation="90"/>
    </xf>
    <xf numFmtId="0" fontId="7" fillId="7" borderId="15" xfId="0" applyFont="1" applyFill="1" applyBorder="1" applyAlignment="1">
      <alignment textRotation="90"/>
    </xf>
    <xf numFmtId="0" fontId="7" fillId="8" borderId="15" xfId="0" applyFont="1" applyFill="1" applyBorder="1" applyAlignment="1">
      <alignment textRotation="90"/>
    </xf>
    <xf numFmtId="0" fontId="3" fillId="0" borderId="0" xfId="0" applyFont="1" applyBorder="1" applyAlignment="1">
      <alignment horizontal="right"/>
    </xf>
    <xf numFmtId="0" fontId="7" fillId="0" borderId="0" xfId="0" applyFont="1" applyBorder="1" applyAlignment="1">
      <alignment horizontal="center"/>
    </xf>
    <xf numFmtId="0" fontId="8" fillId="0" borderId="0" xfId="0" applyFont="1" applyBorder="1" applyAlignment="1">
      <alignment horizontal="center" vertical="top" wrapText="1"/>
    </xf>
    <xf numFmtId="0" fontId="3" fillId="0" borderId="6" xfId="0" applyFont="1" applyFill="1" applyBorder="1" applyAlignment="1">
      <alignment horizontal="right"/>
    </xf>
    <xf numFmtId="0" fontId="3" fillId="0" borderId="0" xfId="0" applyFont="1" applyFill="1" applyBorder="1" applyAlignment="1">
      <alignment horizontal="right"/>
    </xf>
    <xf numFmtId="0" fontId="0" fillId="0" borderId="0" xfId="0" applyFill="1" applyBorder="1"/>
    <xf numFmtId="0" fontId="0" fillId="0" borderId="0" xfId="0" applyFill="1" applyBorder="1" applyAlignment="1">
      <alignment horizontal="center"/>
    </xf>
    <xf numFmtId="0" fontId="0" fillId="0" borderId="7" xfId="0" applyFill="1" applyBorder="1" applyAlignment="1">
      <alignment horizontal="center"/>
    </xf>
    <xf numFmtId="0" fontId="3" fillId="9" borderId="1" xfId="0" applyFont="1" applyFill="1" applyBorder="1" applyAlignment="1">
      <alignment wrapText="1"/>
    </xf>
    <xf numFmtId="0" fontId="7" fillId="0" borderId="0" xfId="0" applyFont="1" applyAlignment="1">
      <alignment wrapText="1"/>
    </xf>
    <xf numFmtId="0" fontId="7" fillId="0" borderId="1" xfId="0" applyFont="1" applyBorder="1" applyAlignment="1">
      <alignment wrapText="1"/>
    </xf>
    <xf numFmtId="166" fontId="7" fillId="0" borderId="1" xfId="0" applyNumberFormat="1" applyFont="1" applyBorder="1" applyAlignment="1">
      <alignment wrapText="1"/>
    </xf>
    <xf numFmtId="166" fontId="7" fillId="0" borderId="0" xfId="0" applyNumberFormat="1" applyFont="1" applyBorder="1" applyAlignment="1">
      <alignment wrapText="1"/>
    </xf>
    <xf numFmtId="0" fontId="7" fillId="0" borderId="0" xfId="0" applyFont="1" applyAlignment="1">
      <alignment horizontal="justify"/>
    </xf>
    <xf numFmtId="0" fontId="3" fillId="0" borderId="0" xfId="0" applyFont="1" applyAlignment="1">
      <alignment horizontal="left" wrapText="1"/>
    </xf>
    <xf numFmtId="0" fontId="7" fillId="0" borderId="1" xfId="0" applyFont="1" applyBorder="1" applyAlignment="1">
      <alignment horizontal="left" vertical="center" wrapText="1"/>
    </xf>
    <xf numFmtId="0" fontId="0" fillId="0" borderId="1" xfId="0" applyBorder="1" applyAlignment="1">
      <alignment wrapText="1"/>
    </xf>
    <xf numFmtId="0" fontId="7" fillId="10" borderId="1" xfId="0" applyFont="1" applyFill="1" applyBorder="1" applyAlignment="1">
      <alignment horizontal="left" vertical="center" wrapText="1"/>
    </xf>
    <xf numFmtId="0" fontId="7" fillId="10" borderId="0" xfId="0" applyFont="1" applyFill="1" applyBorder="1" applyAlignment="1">
      <alignment horizontal="right" vertical="center" wrapText="1"/>
    </xf>
    <xf numFmtId="0" fontId="7" fillId="0" borderId="1" xfId="0" applyFont="1" applyFill="1" applyBorder="1" applyAlignment="1">
      <alignment horizontal="left" vertical="center" wrapText="1"/>
    </xf>
    <xf numFmtId="0" fontId="0" fillId="0" borderId="0" xfId="0" applyFill="1"/>
    <xf numFmtId="0" fontId="3" fillId="0" borderId="0" xfId="0" applyFont="1" applyAlignment="1">
      <alignment horizontal="left" vertical="center" wrapText="1"/>
    </xf>
    <xf numFmtId="0" fontId="0" fillId="0" borderId="0" xfId="0" applyAlignment="1">
      <alignment horizontal="left" vertical="center" wrapText="1"/>
    </xf>
    <xf numFmtId="0" fontId="7" fillId="10" borderId="0" xfId="0" applyFont="1" applyFill="1" applyBorder="1" applyAlignment="1">
      <alignment horizontal="left" vertical="center" wrapText="1"/>
    </xf>
    <xf numFmtId="0" fontId="0" fillId="0" borderId="1" xfId="0" applyBorder="1" applyAlignment="1">
      <alignment horizontal="left" vertical="center" wrapText="1"/>
    </xf>
    <xf numFmtId="166" fontId="0" fillId="0" borderId="0" xfId="0" applyNumberFormat="1" applyAlignment="1">
      <alignment horizontal="left" vertical="center" wrapText="1"/>
    </xf>
    <xf numFmtId="166" fontId="3" fillId="11" borderId="1" xfId="0" applyNumberFormat="1" applyFont="1" applyFill="1" applyBorder="1" applyAlignment="1">
      <alignment horizontal="left" vertical="center" wrapText="1"/>
    </xf>
    <xf numFmtId="166" fontId="7" fillId="10" borderId="1" xfId="0" applyNumberFormat="1" applyFont="1" applyFill="1" applyBorder="1" applyAlignment="1">
      <alignment horizontal="left" vertical="center" wrapText="1"/>
    </xf>
    <xf numFmtId="166" fontId="7" fillId="0" borderId="1" xfId="0" applyNumberFormat="1" applyFont="1" applyFill="1" applyBorder="1" applyAlignment="1">
      <alignment horizontal="left" vertical="center" wrapText="1"/>
    </xf>
    <xf numFmtId="166" fontId="3" fillId="11" borderId="23" xfId="0" applyNumberFormat="1" applyFont="1" applyFill="1" applyBorder="1" applyAlignment="1">
      <alignment horizontal="left" vertical="center" wrapText="1"/>
    </xf>
    <xf numFmtId="166" fontId="0" fillId="0" borderId="1" xfId="0" applyNumberFormat="1" applyBorder="1" applyAlignment="1">
      <alignment horizontal="left" vertical="center" wrapText="1"/>
    </xf>
    <xf numFmtId="166" fontId="0" fillId="0" borderId="0" xfId="0" applyNumberFormat="1" applyBorder="1" applyAlignment="1">
      <alignment horizontal="left" vertical="center" wrapText="1"/>
    </xf>
    <xf numFmtId="0" fontId="0" fillId="0" borderId="3" xfId="0" applyBorder="1" applyAlignment="1"/>
    <xf numFmtId="0" fontId="0" fillId="0" borderId="4" xfId="0" applyBorder="1" applyAlignment="1"/>
    <xf numFmtId="0" fontId="0" fillId="0" borderId="12" xfId="0" applyBorder="1" applyAlignment="1"/>
    <xf numFmtId="0" fontId="0" fillId="0" borderId="8" xfId="0" applyBorder="1" applyAlignment="1"/>
    <xf numFmtId="0" fontId="3" fillId="0" borderId="0" xfId="0" applyFont="1" applyAlignment="1"/>
    <xf numFmtId="0" fontId="7" fillId="0" borderId="0" xfId="0" applyFont="1" applyBorder="1" applyAlignment="1">
      <alignment horizontal="left" vertical="center" wrapText="1"/>
    </xf>
    <xf numFmtId="0" fontId="0" fillId="0" borderId="0" xfId="0" applyBorder="1" applyAlignment="1">
      <alignment horizontal="left" vertical="center" wrapText="1"/>
    </xf>
    <xf numFmtId="0" fontId="18" fillId="0" borderId="0" xfId="35" applyAlignment="1">
      <alignment horizontal="center" vertical="center" wrapText="1"/>
    </xf>
    <xf numFmtId="0" fontId="18" fillId="0" borderId="0" xfId="35"/>
    <xf numFmtId="0" fontId="1" fillId="10" borderId="1" xfId="36" applyFont="1" applyFill="1" applyBorder="1" applyAlignment="1">
      <alignment horizontal="left" vertical="center" wrapText="1"/>
    </xf>
    <xf numFmtId="0" fontId="18" fillId="10" borderId="1" xfId="35" applyFill="1" applyBorder="1" applyAlignment="1">
      <alignment vertical="center"/>
    </xf>
    <xf numFmtId="0" fontId="18" fillId="10" borderId="1" xfId="35" applyFill="1" applyBorder="1" applyAlignment="1">
      <alignment horizontal="center" vertical="center" wrapText="1"/>
    </xf>
    <xf numFmtId="166" fontId="1" fillId="10" borderId="1" xfId="36" applyNumberFormat="1" applyFill="1" applyBorder="1" applyAlignment="1">
      <alignment horizontal="center" vertical="center" wrapText="1"/>
    </xf>
    <xf numFmtId="0" fontId="3" fillId="0" borderId="1" xfId="0" applyFont="1" applyBorder="1" applyProtection="1">
      <protection locked="0"/>
    </xf>
    <xf numFmtId="0" fontId="0" fillId="0" borderId="0" xfId="0" applyProtection="1">
      <protection locked="0"/>
    </xf>
    <xf numFmtId="0" fontId="0" fillId="0" borderId="1" xfId="0" applyBorder="1" applyProtection="1">
      <protection locked="0"/>
    </xf>
    <xf numFmtId="0" fontId="7" fillId="0" borderId="1" xfId="0" applyFont="1" applyFill="1" applyBorder="1" applyAlignment="1" applyProtection="1">
      <alignment horizontal="right"/>
    </xf>
    <xf numFmtId="165" fontId="0" fillId="0" borderId="1" xfId="0" applyNumberFormat="1" applyFill="1" applyBorder="1" applyProtection="1"/>
    <xf numFmtId="1" fontId="7" fillId="0" borderId="1" xfId="0" applyNumberFormat="1" applyFont="1" applyFill="1" applyBorder="1" applyAlignment="1" applyProtection="1">
      <alignment horizontal="right"/>
    </xf>
    <xf numFmtId="0" fontId="7" fillId="12" borderId="1" xfId="0" applyFont="1" applyFill="1" applyBorder="1" applyAlignment="1" applyProtection="1">
      <alignment horizontal="right"/>
      <protection locked="0"/>
    </xf>
    <xf numFmtId="14" fontId="7" fillId="12" borderId="1" xfId="0" applyNumberFormat="1" applyFont="1" applyFill="1" applyBorder="1" applyAlignment="1" applyProtection="1">
      <alignment horizontal="right"/>
      <protection locked="0"/>
    </xf>
    <xf numFmtId="164" fontId="7" fillId="12" borderId="23" xfId="32" applyFont="1" applyFill="1" applyBorder="1" applyAlignment="1" applyProtection="1">
      <alignment horizontal="right"/>
      <protection locked="0"/>
    </xf>
    <xf numFmtId="166" fontId="7" fillId="12" borderId="1" xfId="0" quotePrefix="1" applyNumberFormat="1" applyFont="1" applyFill="1" applyBorder="1" applyAlignment="1" applyProtection="1">
      <alignment horizontal="right"/>
      <protection locked="0"/>
    </xf>
    <xf numFmtId="0" fontId="1" fillId="0" borderId="1" xfId="0" applyFont="1" applyBorder="1" applyAlignment="1">
      <alignment wrapText="1"/>
    </xf>
    <xf numFmtId="0" fontId="2" fillId="54" borderId="3" xfId="0" applyFont="1" applyFill="1" applyBorder="1" applyAlignment="1">
      <alignment horizontal="center" textRotation="90"/>
    </xf>
    <xf numFmtId="0" fontId="35" fillId="55" borderId="12" xfId="0" applyFont="1" applyFill="1" applyBorder="1" applyAlignment="1">
      <alignment horizontal="right"/>
    </xf>
    <xf numFmtId="0" fontId="1" fillId="0" borderId="1" xfId="0" applyFont="1" applyFill="1" applyBorder="1"/>
    <xf numFmtId="0" fontId="7" fillId="0" borderId="2" xfId="0" applyFont="1" applyBorder="1" applyAlignment="1">
      <alignment horizontal="left" vertical="center" wrapText="1"/>
    </xf>
    <xf numFmtId="0" fontId="7" fillId="0" borderId="24" xfId="0" applyFont="1" applyBorder="1" applyAlignment="1">
      <alignment horizontal="left" vertical="center" wrapText="1"/>
    </xf>
    <xf numFmtId="0" fontId="1" fillId="10" borderId="24" xfId="36" applyFont="1" applyFill="1" applyBorder="1" applyAlignment="1">
      <alignment horizontal="left" vertical="center" wrapText="1"/>
    </xf>
    <xf numFmtId="0" fontId="0" fillId="0" borderId="0" xfId="0" applyAlignment="1">
      <alignment vertical="center" wrapText="1"/>
    </xf>
    <xf numFmtId="0" fontId="7" fillId="0" borderId="10" xfId="0" applyFont="1" applyBorder="1" applyAlignment="1">
      <alignment horizontal="left" vertical="center" wrapText="1"/>
    </xf>
    <xf numFmtId="0" fontId="1" fillId="10" borderId="1" xfId="0" applyFont="1" applyFill="1" applyBorder="1" applyAlignment="1">
      <alignment horizontal="left" vertical="center" wrapText="1"/>
    </xf>
    <xf numFmtId="0" fontId="36" fillId="0" borderId="1" xfId="0" applyFont="1" applyBorder="1" applyAlignment="1">
      <alignment horizontal="center" vertical="center" wrapText="1"/>
    </xf>
    <xf numFmtId="0" fontId="1" fillId="0" borderId="1" xfId="0" applyFont="1" applyBorder="1" applyAlignment="1">
      <alignment horizontal="center" vertical="center" wrapText="1"/>
    </xf>
    <xf numFmtId="0" fontId="1" fillId="0" borderId="1" xfId="0" applyFont="1" applyBorder="1" applyAlignment="1">
      <alignment horizontal="left" vertical="center" wrapText="1"/>
    </xf>
    <xf numFmtId="166" fontId="1" fillId="0" borderId="0" xfId="0" applyNumberFormat="1" applyFont="1" applyAlignment="1">
      <alignment horizontal="left" vertical="center" wrapText="1"/>
    </xf>
    <xf numFmtId="0" fontId="1" fillId="0" borderId="0" xfId="0" applyFont="1"/>
    <xf numFmtId="0" fontId="7" fillId="0" borderId="10" xfId="0" applyFont="1" applyBorder="1" applyAlignment="1">
      <alignment vertical="center" wrapText="1"/>
    </xf>
    <xf numFmtId="0" fontId="36" fillId="0" borderId="10" xfId="0" applyFont="1" applyBorder="1" applyAlignment="1">
      <alignment horizontal="center" vertical="center" wrapText="1"/>
    </xf>
    <xf numFmtId="0" fontId="1" fillId="0" borderId="23" xfId="0" applyFont="1" applyBorder="1" applyAlignment="1">
      <alignment horizontal="left" vertical="center" wrapText="1"/>
    </xf>
    <xf numFmtId="0" fontId="37" fillId="0" borderId="0" xfId="0" applyFont="1" applyBorder="1" applyAlignment="1">
      <alignment vertical="center" wrapText="1"/>
    </xf>
    <xf numFmtId="0" fontId="38" fillId="10" borderId="24" xfId="35" applyFont="1" applyFill="1" applyBorder="1" applyAlignment="1">
      <alignment vertical="center" wrapText="1"/>
    </xf>
    <xf numFmtId="0" fontId="39" fillId="13" borderId="25" xfId="30" applyFont="1" applyFill="1" applyBorder="1" applyAlignment="1" applyProtection="1">
      <alignment horizontal="left" vertical="center"/>
    </xf>
    <xf numFmtId="0" fontId="1" fillId="10" borderId="26" xfId="36" applyFont="1" applyFill="1" applyBorder="1" applyAlignment="1">
      <alignment horizontal="left" vertical="center" wrapText="1"/>
    </xf>
    <xf numFmtId="0" fontId="1" fillId="10" borderId="23" xfId="36" applyFont="1" applyFill="1" applyBorder="1" applyAlignment="1">
      <alignment horizontal="left" vertical="center" wrapText="1"/>
    </xf>
    <xf numFmtId="0" fontId="1" fillId="10" borderId="27" xfId="36" quotePrefix="1" applyFont="1" applyFill="1" applyBorder="1" applyAlignment="1">
      <alignment horizontal="left" vertical="center" wrapText="1"/>
    </xf>
    <xf numFmtId="0" fontId="1" fillId="0" borderId="1" xfId="0" applyFont="1" applyBorder="1" applyAlignment="1">
      <alignment vertical="center" wrapText="1"/>
    </xf>
    <xf numFmtId="0" fontId="0" fillId="0" borderId="1" xfId="0" applyBorder="1" applyAlignment="1">
      <alignment vertical="center" wrapText="1"/>
    </xf>
    <xf numFmtId="166" fontId="0" fillId="0" borderId="1" xfId="0" applyNumberFormat="1" applyBorder="1" applyAlignment="1">
      <alignment vertical="center" wrapText="1"/>
    </xf>
    <xf numFmtId="0" fontId="1" fillId="0" borderId="1" xfId="0" applyFont="1" applyBorder="1"/>
    <xf numFmtId="0" fontId="0" fillId="56" borderId="0" xfId="0" applyFill="1"/>
    <xf numFmtId="0" fontId="0" fillId="0" borderId="28" xfId="0" applyBorder="1" applyProtection="1">
      <protection locked="0"/>
    </xf>
    <xf numFmtId="0" fontId="0" fillId="0" borderId="29" xfId="0" applyBorder="1" applyProtection="1">
      <protection locked="0"/>
    </xf>
    <xf numFmtId="0" fontId="0" fillId="0" borderId="30" xfId="0" applyBorder="1" applyProtection="1">
      <protection locked="0"/>
    </xf>
    <xf numFmtId="0" fontId="0" fillId="0" borderId="31" xfId="0" applyBorder="1" applyProtection="1">
      <protection locked="0"/>
    </xf>
    <xf numFmtId="0" fontId="0" fillId="0" borderId="0" xfId="0" applyBorder="1" applyProtection="1">
      <protection locked="0"/>
    </xf>
    <xf numFmtId="0" fontId="0" fillId="0" borderId="32" xfId="0" applyBorder="1" applyProtection="1">
      <protection locked="0"/>
    </xf>
    <xf numFmtId="0" fontId="0" fillId="57" borderId="0" xfId="0" applyFill="1" applyProtection="1">
      <protection locked="0"/>
    </xf>
    <xf numFmtId="0" fontId="0" fillId="57" borderId="0" xfId="0" applyFill="1"/>
    <xf numFmtId="0" fontId="7" fillId="0" borderId="1" xfId="0" applyFont="1" applyBorder="1" applyAlignment="1">
      <alignment vertical="center" wrapText="1"/>
    </xf>
    <xf numFmtId="166" fontId="7" fillId="0" borderId="1" xfId="0" applyNumberFormat="1" applyFont="1" applyBorder="1" applyAlignment="1">
      <alignment vertical="center" wrapText="1"/>
    </xf>
    <xf numFmtId="0" fontId="12" fillId="0" borderId="0" xfId="0" applyFont="1"/>
    <xf numFmtId="0" fontId="0" fillId="58" borderId="0" xfId="0" applyFill="1"/>
    <xf numFmtId="0" fontId="0" fillId="0" borderId="28" xfId="0" applyBorder="1"/>
    <xf numFmtId="0" fontId="0" fillId="0" borderId="29" xfId="0" applyBorder="1"/>
    <xf numFmtId="0" fontId="0" fillId="0" borderId="31" xfId="0" applyBorder="1"/>
    <xf numFmtId="0" fontId="0" fillId="0" borderId="32" xfId="0" applyBorder="1"/>
    <xf numFmtId="0" fontId="0" fillId="0" borderId="33" xfId="0" applyBorder="1"/>
    <xf numFmtId="0" fontId="0" fillId="0" borderId="34" xfId="0" applyBorder="1"/>
    <xf numFmtId="0" fontId="0" fillId="0" borderId="26" xfId="0" applyBorder="1"/>
    <xf numFmtId="0" fontId="0" fillId="0" borderId="1" xfId="0" applyBorder="1" applyAlignment="1">
      <alignment vertical="top" wrapText="1"/>
    </xf>
    <xf numFmtId="0" fontId="1" fillId="0" borderId="1" xfId="0" applyFont="1" applyBorder="1" applyAlignment="1">
      <alignment vertical="top" wrapText="1"/>
    </xf>
    <xf numFmtId="0" fontId="0" fillId="0" borderId="1" xfId="0" applyBorder="1" applyAlignment="1">
      <alignment vertical="center"/>
    </xf>
    <xf numFmtId="166" fontId="0" fillId="0" borderId="1" xfId="0" applyNumberFormat="1" applyBorder="1" applyAlignment="1">
      <alignment vertical="center"/>
    </xf>
    <xf numFmtId="0" fontId="0" fillId="0" borderId="1" xfId="0" applyBorder="1" applyAlignment="1"/>
    <xf numFmtId="0" fontId="1" fillId="0" borderId="1" xfId="0" applyFont="1" applyBorder="1" applyAlignment="1"/>
    <xf numFmtId="0" fontId="3" fillId="0" borderId="0" xfId="0" applyFont="1" applyAlignment="1">
      <alignment horizontal="right"/>
    </xf>
    <xf numFmtId="0" fontId="18" fillId="0" borderId="0" xfId="35"/>
    <xf numFmtId="0" fontId="14" fillId="0" borderId="0" xfId="37"/>
    <xf numFmtId="0" fontId="1" fillId="0" borderId="0" xfId="37" applyFont="1" applyBorder="1"/>
    <xf numFmtId="0" fontId="3" fillId="0" borderId="10" xfId="0" applyFont="1" applyBorder="1" applyAlignment="1"/>
    <xf numFmtId="0" fontId="40" fillId="0" borderId="0" xfId="0" applyFont="1"/>
    <xf numFmtId="0" fontId="0" fillId="12" borderId="1" xfId="0" applyFill="1" applyBorder="1"/>
    <xf numFmtId="165" fontId="0" fillId="12" borderId="1" xfId="0" applyNumberFormat="1" applyFill="1" applyBorder="1"/>
    <xf numFmtId="0" fontId="0" fillId="12" borderId="1" xfId="0" applyNumberFormat="1" applyFill="1" applyBorder="1" applyProtection="1">
      <protection locked="0"/>
    </xf>
    <xf numFmtId="0" fontId="3" fillId="0" borderId="34" xfId="0" applyFont="1" applyBorder="1" applyAlignment="1"/>
    <xf numFmtId="0" fontId="1" fillId="0" borderId="30" xfId="37" applyFont="1" applyBorder="1"/>
    <xf numFmtId="0" fontId="14" fillId="0" borderId="32" xfId="37" applyBorder="1"/>
    <xf numFmtId="0" fontId="18" fillId="0" borderId="32" xfId="35" applyBorder="1"/>
    <xf numFmtId="0" fontId="18" fillId="0" borderId="26" xfId="35" applyBorder="1"/>
    <xf numFmtId="0" fontId="1" fillId="0" borderId="23" xfId="37" applyFont="1" applyBorder="1"/>
    <xf numFmtId="0" fontId="14" fillId="0" borderId="35" xfId="37" applyBorder="1"/>
    <xf numFmtId="0" fontId="18" fillId="0" borderId="35" xfId="35" applyBorder="1"/>
    <xf numFmtId="0" fontId="18" fillId="0" borderId="27" xfId="35" applyBorder="1"/>
    <xf numFmtId="0" fontId="0" fillId="0" borderId="17" xfId="0" applyFill="1" applyBorder="1" applyAlignment="1">
      <alignment horizontal="center"/>
    </xf>
    <xf numFmtId="165" fontId="0" fillId="12" borderId="17" xfId="0" applyNumberFormat="1" applyFill="1" applyBorder="1"/>
    <xf numFmtId="0" fontId="0" fillId="12" borderId="17" xfId="0" applyFill="1" applyBorder="1"/>
    <xf numFmtId="0" fontId="1" fillId="0" borderId="35" xfId="37" applyFont="1" applyBorder="1"/>
    <xf numFmtId="0" fontId="1" fillId="0" borderId="32" xfId="37" applyFont="1" applyBorder="1"/>
    <xf numFmtId="0" fontId="1" fillId="0" borderId="0" xfId="37" applyFont="1"/>
    <xf numFmtId="0" fontId="0" fillId="0" borderId="1" xfId="0" applyBorder="1" applyAlignment="1" applyProtection="1">
      <alignment horizontal="center" vertical="center"/>
      <protection locked="0"/>
    </xf>
    <xf numFmtId="0" fontId="0" fillId="56" borderId="0" xfId="0" applyFill="1" applyBorder="1" applyProtection="1">
      <protection locked="0"/>
    </xf>
    <xf numFmtId="0" fontId="0" fillId="56" borderId="0" xfId="0" applyFill="1" applyProtection="1">
      <protection locked="0"/>
    </xf>
    <xf numFmtId="0" fontId="3" fillId="9" borderId="1" xfId="0" applyNumberFormat="1" applyFont="1" applyFill="1" applyBorder="1" applyAlignment="1">
      <alignment horizontal="center"/>
    </xf>
    <xf numFmtId="0" fontId="0" fillId="0" borderId="0" xfId="0" applyAlignment="1">
      <alignment horizontal="left"/>
    </xf>
    <xf numFmtId="0" fontId="1" fillId="12" borderId="25" xfId="0" applyFont="1" applyFill="1" applyBorder="1" applyAlignment="1">
      <alignment vertical="center"/>
    </xf>
    <xf numFmtId="0" fontId="7" fillId="12" borderId="25" xfId="0" applyFont="1" applyFill="1" applyBorder="1" applyAlignment="1">
      <alignment vertical="center"/>
    </xf>
    <xf numFmtId="0" fontId="7" fillId="12" borderId="36" xfId="0" applyFont="1" applyFill="1" applyBorder="1" applyAlignment="1">
      <alignment horizontal="left" vertical="center"/>
    </xf>
    <xf numFmtId="0" fontId="7" fillId="12" borderId="37" xfId="0" applyFont="1" applyFill="1" applyBorder="1" applyAlignment="1">
      <alignment horizontal="left" vertical="center"/>
    </xf>
    <xf numFmtId="0" fontId="7" fillId="12" borderId="38" xfId="0" applyFont="1" applyFill="1" applyBorder="1" applyAlignment="1">
      <alignment horizontal="left" vertical="center"/>
    </xf>
    <xf numFmtId="0" fontId="3" fillId="0" borderId="39" xfId="0" applyFont="1" applyBorder="1" applyAlignment="1">
      <alignment horizontal="left"/>
    </xf>
    <xf numFmtId="0" fontId="3" fillId="0" borderId="40" xfId="0" applyFont="1" applyBorder="1" applyAlignment="1">
      <alignment horizontal="left"/>
    </xf>
    <xf numFmtId="0" fontId="3" fillId="0" borderId="14" xfId="0" applyFont="1" applyBorder="1" applyAlignment="1">
      <alignment horizontal="left"/>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3" fillId="0" borderId="12" xfId="0" applyFont="1" applyBorder="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1" fillId="0" borderId="0" xfId="0" applyFont="1" applyAlignment="1">
      <alignment horizontal="left" wrapText="1"/>
    </xf>
    <xf numFmtId="0" fontId="7" fillId="0" borderId="0" xfId="0" applyFont="1" applyAlignment="1">
      <alignment horizontal="left" wrapText="1"/>
    </xf>
    <xf numFmtId="0" fontId="1" fillId="0" borderId="0" xfId="0" applyFont="1" applyAlignment="1">
      <alignment horizontal="left" vertical="center" wrapText="1"/>
    </xf>
    <xf numFmtId="0" fontId="7" fillId="0" borderId="0" xfId="0" applyFont="1" applyAlignment="1">
      <alignment horizontal="left" vertical="center" wrapText="1"/>
    </xf>
    <xf numFmtId="0" fontId="7" fillId="12" borderId="36" xfId="0" applyFont="1" applyFill="1" applyBorder="1" applyAlignment="1">
      <alignment vertical="center" wrapText="1"/>
    </xf>
    <xf numFmtId="0" fontId="7" fillId="12" borderId="37" xfId="0" applyFont="1" applyFill="1" applyBorder="1" applyAlignment="1">
      <alignment vertical="center" wrapText="1"/>
    </xf>
    <xf numFmtId="0" fontId="7" fillId="12" borderId="38" xfId="0" applyFont="1" applyFill="1" applyBorder="1" applyAlignment="1">
      <alignment vertical="center" wrapText="1"/>
    </xf>
    <xf numFmtId="0" fontId="1" fillId="12" borderId="25" xfId="0" applyFont="1" applyFill="1" applyBorder="1" applyAlignment="1">
      <alignment horizontal="left" vertical="center"/>
    </xf>
    <xf numFmtId="0" fontId="7" fillId="12" borderId="25" xfId="0" applyFont="1" applyFill="1" applyBorder="1" applyAlignment="1">
      <alignment horizontal="left" vertical="center"/>
    </xf>
    <xf numFmtId="0" fontId="1" fillId="12" borderId="36" xfId="0" applyFont="1" applyFill="1" applyBorder="1" applyAlignment="1">
      <alignment horizontal="left" vertical="center" wrapText="1"/>
    </xf>
    <xf numFmtId="0" fontId="7" fillId="12" borderId="37" xfId="0" applyFont="1" applyFill="1" applyBorder="1" applyAlignment="1">
      <alignment horizontal="left" vertical="center" wrapText="1"/>
    </xf>
    <xf numFmtId="0" fontId="7" fillId="12" borderId="38" xfId="0" applyFont="1" applyFill="1" applyBorder="1" applyAlignment="1">
      <alignment horizontal="left" vertical="center" wrapText="1"/>
    </xf>
    <xf numFmtId="0" fontId="1" fillId="12" borderId="36" xfId="0" applyFont="1" applyFill="1" applyBorder="1" applyAlignment="1">
      <alignment horizontal="left" vertical="center"/>
    </xf>
    <xf numFmtId="0" fontId="1" fillId="12" borderId="37" xfId="0" applyFont="1" applyFill="1" applyBorder="1" applyAlignment="1">
      <alignment horizontal="left" vertical="center"/>
    </xf>
    <xf numFmtId="0" fontId="1" fillId="12" borderId="38" xfId="0" applyFont="1" applyFill="1" applyBorder="1" applyAlignment="1">
      <alignment horizontal="left" vertical="center"/>
    </xf>
    <xf numFmtId="0" fontId="3" fillId="56" borderId="0" xfId="0" applyFont="1" applyFill="1" applyAlignment="1">
      <alignment horizontal="center"/>
    </xf>
    <xf numFmtId="0" fontId="3" fillId="0" borderId="11" xfId="0" applyFont="1" applyFill="1" applyBorder="1" applyAlignment="1">
      <alignment horizontal="left"/>
    </xf>
    <xf numFmtId="0" fontId="3" fillId="0" borderId="2" xfId="0" applyFont="1" applyFill="1" applyBorder="1" applyAlignment="1">
      <alignment horizontal="left"/>
    </xf>
    <xf numFmtId="0" fontId="0" fillId="12" borderId="10" xfId="0" applyFill="1" applyBorder="1" applyAlignment="1">
      <alignment horizontal="center"/>
    </xf>
    <xf numFmtId="0" fontId="0" fillId="12" borderId="2" xfId="0" applyFill="1" applyBorder="1" applyAlignment="1">
      <alignment horizontal="center"/>
    </xf>
    <xf numFmtId="0" fontId="0" fillId="12" borderId="24" xfId="0" applyFill="1" applyBorder="1" applyAlignment="1">
      <alignment horizontal="center"/>
    </xf>
    <xf numFmtId="0" fontId="0" fillId="12" borderId="46" xfId="0" applyFill="1" applyBorder="1" applyAlignment="1">
      <alignment horizontal="center"/>
    </xf>
    <xf numFmtId="0" fontId="10" fillId="0" borderId="7" xfId="0" applyFont="1" applyBorder="1" applyAlignment="1">
      <alignment horizontal="center" vertical="center" textRotation="90"/>
    </xf>
    <xf numFmtId="0" fontId="1" fillId="12" borderId="10" xfId="0" applyFont="1" applyFill="1" applyBorder="1" applyAlignment="1">
      <alignment horizontal="center"/>
    </xf>
    <xf numFmtId="0" fontId="3" fillId="56" borderId="2" xfId="0" applyFont="1" applyFill="1" applyBorder="1" applyAlignment="1">
      <alignment horizontal="center" wrapText="1"/>
    </xf>
    <xf numFmtId="0" fontId="3" fillId="56" borderId="46" xfId="0" applyFont="1" applyFill="1" applyBorder="1" applyAlignment="1">
      <alignment horizontal="center" wrapText="1"/>
    </xf>
    <xf numFmtId="0" fontId="0" fillId="0" borderId="2" xfId="0" applyNumberFormat="1" applyBorder="1" applyAlignment="1">
      <alignment horizontal="left"/>
    </xf>
    <xf numFmtId="0" fontId="0" fillId="0" borderId="3" xfId="0" applyBorder="1" applyAlignment="1">
      <alignment horizontal="center"/>
    </xf>
    <xf numFmtId="0" fontId="0" fillId="0" borderId="41" xfId="0" applyBorder="1" applyAlignment="1">
      <alignment horizontal="center"/>
    </xf>
    <xf numFmtId="0" fontId="0" fillId="0" borderId="12" xfId="0" applyBorder="1" applyAlignment="1">
      <alignment horizontal="center"/>
    </xf>
    <xf numFmtId="0" fontId="0" fillId="0" borderId="42" xfId="0" applyBorder="1" applyAlignment="1">
      <alignment horizontal="center"/>
    </xf>
    <xf numFmtId="0" fontId="17" fillId="0" borderId="43" xfId="0" applyFont="1" applyBorder="1" applyAlignment="1">
      <alignment horizontal="center" vertical="center" wrapText="1"/>
    </xf>
    <xf numFmtId="0" fontId="17" fillId="0" borderId="4" xfId="0" applyFont="1" applyBorder="1" applyAlignment="1">
      <alignment horizontal="center" vertical="center" wrapText="1"/>
    </xf>
    <xf numFmtId="0" fontId="17" fillId="0" borderId="5" xfId="0" applyFont="1" applyBorder="1" applyAlignment="1">
      <alignment horizontal="center" vertical="center" wrapText="1"/>
    </xf>
    <xf numFmtId="0" fontId="17" fillId="0" borderId="44" xfId="0" applyFont="1" applyBorder="1" applyAlignment="1">
      <alignment horizontal="center" vertical="center" wrapText="1"/>
    </xf>
    <xf numFmtId="0" fontId="17" fillId="0" borderId="8" xfId="0" applyFont="1" applyBorder="1" applyAlignment="1">
      <alignment horizontal="center" vertical="center" wrapText="1"/>
    </xf>
    <xf numFmtId="0" fontId="17" fillId="0" borderId="9" xfId="0" applyFont="1" applyBorder="1" applyAlignment="1">
      <alignment horizontal="center" vertical="center" wrapText="1"/>
    </xf>
    <xf numFmtId="0" fontId="3" fillId="0" borderId="45" xfId="0" applyFont="1" applyBorder="1" applyAlignment="1">
      <alignment horizontal="right"/>
    </xf>
    <xf numFmtId="0" fontId="3" fillId="0" borderId="28" xfId="0" applyFont="1" applyBorder="1" applyAlignment="1">
      <alignment horizontal="right"/>
    </xf>
    <xf numFmtId="0" fontId="1" fillId="12" borderId="28" xfId="0" applyFont="1" applyFill="1" applyBorder="1" applyAlignment="1">
      <alignment horizontal="left"/>
    </xf>
    <xf numFmtId="0" fontId="0" fillId="12" borderId="2" xfId="0" applyFill="1" applyBorder="1" applyAlignment="1">
      <alignment horizontal="left"/>
    </xf>
    <xf numFmtId="0" fontId="0" fillId="12" borderId="46" xfId="0" applyFill="1" applyBorder="1" applyAlignment="1">
      <alignment horizontal="left"/>
    </xf>
    <xf numFmtId="0" fontId="0" fillId="12" borderId="33" xfId="0" applyFill="1" applyBorder="1" applyAlignment="1">
      <alignment horizontal="center"/>
    </xf>
    <xf numFmtId="167" fontId="1" fillId="12" borderId="11" xfId="0" applyNumberFormat="1" applyFont="1" applyFill="1" applyBorder="1" applyAlignment="1">
      <alignment horizontal="center"/>
    </xf>
    <xf numFmtId="167" fontId="0" fillId="12" borderId="46" xfId="0" applyNumberFormat="1" applyFill="1" applyBorder="1" applyAlignment="1">
      <alignment horizontal="center"/>
    </xf>
    <xf numFmtId="0" fontId="3" fillId="0" borderId="10" xfId="0" applyFont="1" applyBorder="1" applyAlignment="1" applyProtection="1">
      <alignment horizontal="left"/>
      <protection locked="0"/>
    </xf>
    <xf numFmtId="0" fontId="3" fillId="0" borderId="24" xfId="0" applyFont="1" applyBorder="1" applyAlignment="1" applyProtection="1">
      <alignment horizontal="left"/>
      <protection locked="0"/>
    </xf>
    <xf numFmtId="3" fontId="0" fillId="0" borderId="10" xfId="0" quotePrefix="1" applyNumberFormat="1" applyBorder="1" applyAlignment="1" applyProtection="1">
      <alignment horizontal="left"/>
      <protection locked="0"/>
    </xf>
    <xf numFmtId="3" fontId="0" fillId="0" borderId="24" xfId="0" quotePrefix="1" applyNumberFormat="1" applyBorder="1" applyAlignment="1" applyProtection="1">
      <alignment horizontal="left"/>
      <protection locked="0"/>
    </xf>
    <xf numFmtId="0" fontId="0" fillId="0" borderId="10" xfId="0" applyBorder="1" applyAlignment="1" applyProtection="1">
      <alignment horizontal="left" vertical="center"/>
      <protection locked="0"/>
    </xf>
    <xf numFmtId="0" fontId="0" fillId="0" borderId="2" xfId="0" applyBorder="1" applyAlignment="1" applyProtection="1">
      <alignment horizontal="left" vertical="center"/>
      <protection locked="0"/>
    </xf>
    <xf numFmtId="0" fontId="0" fillId="0" borderId="24" xfId="0" applyBorder="1" applyAlignment="1" applyProtection="1">
      <alignment horizontal="left" vertical="center"/>
      <protection locked="0"/>
    </xf>
    <xf numFmtId="0" fontId="1" fillId="0" borderId="10" xfId="0" applyFont="1" applyBorder="1" applyAlignment="1" applyProtection="1">
      <alignment horizontal="left" vertical="center" wrapText="1"/>
      <protection locked="0"/>
    </xf>
    <xf numFmtId="0" fontId="1" fillId="0" borderId="2" xfId="0" applyFont="1" applyBorder="1" applyAlignment="1" applyProtection="1">
      <alignment horizontal="left" vertical="center" wrapText="1"/>
      <protection locked="0"/>
    </xf>
    <xf numFmtId="0" fontId="1" fillId="0" borderId="24" xfId="0" applyFont="1" applyBorder="1" applyAlignment="1" applyProtection="1">
      <alignment horizontal="left" vertical="center" wrapText="1"/>
      <protection locked="0"/>
    </xf>
    <xf numFmtId="49" fontId="1" fillId="0" borderId="31" xfId="0" applyNumberFormat="1" applyFont="1" applyBorder="1" applyAlignment="1" applyProtection="1">
      <alignment horizontal="left" vertical="top" wrapText="1"/>
      <protection locked="0"/>
    </xf>
    <xf numFmtId="49" fontId="0" fillId="0" borderId="0" xfId="0" applyNumberFormat="1" applyBorder="1" applyAlignment="1" applyProtection="1">
      <alignment horizontal="left" vertical="top"/>
      <protection locked="0"/>
    </xf>
    <xf numFmtId="49" fontId="0" fillId="0" borderId="32" xfId="0" applyNumberFormat="1" applyBorder="1" applyAlignment="1" applyProtection="1">
      <alignment horizontal="left" vertical="top"/>
      <protection locked="0"/>
    </xf>
    <xf numFmtId="49" fontId="0" fillId="0" borderId="31" xfId="0" applyNumberFormat="1" applyBorder="1" applyAlignment="1" applyProtection="1">
      <alignment horizontal="left" vertical="top"/>
      <protection locked="0"/>
    </xf>
    <xf numFmtId="49" fontId="0" fillId="0" borderId="33" xfId="0" applyNumberFormat="1" applyBorder="1" applyAlignment="1" applyProtection="1">
      <alignment horizontal="left" vertical="top"/>
      <protection locked="0"/>
    </xf>
    <xf numFmtId="49" fontId="0" fillId="0" borderId="34" xfId="0" applyNumberFormat="1" applyBorder="1" applyAlignment="1" applyProtection="1">
      <alignment horizontal="left" vertical="top"/>
      <protection locked="0"/>
    </xf>
    <xf numFmtId="49" fontId="0" fillId="0" borderId="26" xfId="0" applyNumberFormat="1" applyBorder="1" applyAlignment="1" applyProtection="1">
      <alignment horizontal="left" vertical="top"/>
      <protection locked="0"/>
    </xf>
    <xf numFmtId="0" fontId="1" fillId="0" borderId="0" xfId="0" applyFont="1" applyBorder="1" applyAlignment="1" applyProtection="1">
      <alignment horizontal="left" vertical="top" wrapText="1"/>
      <protection locked="0"/>
    </xf>
    <xf numFmtId="0" fontId="3" fillId="0" borderId="0" xfId="0" applyFont="1" applyAlignment="1">
      <alignment horizontal="left" vertical="center"/>
    </xf>
    <xf numFmtId="0" fontId="7" fillId="0" borderId="0" xfId="0" applyFont="1" applyAlignment="1">
      <alignment horizontal="left" vertical="center"/>
    </xf>
    <xf numFmtId="0" fontId="3" fillId="0" borderId="34" xfId="0" applyFont="1" applyBorder="1" applyAlignment="1">
      <alignment horizontal="left" wrapText="1"/>
    </xf>
    <xf numFmtId="0" fontId="0" fillId="0" borderId="34" xfId="0" applyBorder="1" applyAlignment="1">
      <alignment horizontal="left" wrapText="1"/>
    </xf>
    <xf numFmtId="0" fontId="3" fillId="0" borderId="0" xfId="0" applyFont="1" applyAlignment="1">
      <alignment horizontal="left" wrapText="1"/>
    </xf>
    <xf numFmtId="0" fontId="3" fillId="0" borderId="0" xfId="0" applyFont="1" applyAlignment="1">
      <alignment horizontal="center" wrapText="1"/>
    </xf>
    <xf numFmtId="0" fontId="7" fillId="0" borderId="1" xfId="0" applyFont="1" applyBorder="1" applyAlignment="1">
      <alignment horizontal="left" vertical="center" wrapText="1"/>
    </xf>
    <xf numFmtId="0" fontId="7" fillId="0" borderId="10" xfId="0" applyFont="1" applyBorder="1" applyAlignment="1">
      <alignment horizontal="left" vertical="center" wrapText="1"/>
    </xf>
    <xf numFmtId="0" fontId="7" fillId="0" borderId="2" xfId="0" applyFont="1" applyBorder="1" applyAlignment="1">
      <alignment horizontal="left" vertical="center" wrapText="1"/>
    </xf>
    <xf numFmtId="0" fontId="7" fillId="0" borderId="24" xfId="0" applyFont="1" applyBorder="1" applyAlignment="1">
      <alignment horizontal="left" vertical="center" wrapText="1"/>
    </xf>
    <xf numFmtId="0" fontId="7" fillId="0" borderId="23" xfId="0" applyFont="1" applyBorder="1" applyAlignment="1">
      <alignment horizontal="left" vertical="center" wrapText="1"/>
    </xf>
    <xf numFmtId="0" fontId="7" fillId="0" borderId="35" xfId="0" applyFont="1" applyBorder="1" applyAlignment="1">
      <alignment horizontal="left" vertical="center" wrapText="1"/>
    </xf>
    <xf numFmtId="0" fontId="7" fillId="0" borderId="27" xfId="0" applyFont="1" applyBorder="1" applyAlignment="1">
      <alignment horizontal="left" vertical="center" wrapText="1"/>
    </xf>
    <xf numFmtId="0" fontId="3" fillId="0" borderId="34" xfId="0" applyFont="1" applyBorder="1" applyAlignment="1">
      <alignment horizontal="left" vertical="center" wrapText="1"/>
    </xf>
    <xf numFmtId="0" fontId="3" fillId="11" borderId="1" xfId="0" applyFont="1" applyFill="1" applyBorder="1" applyAlignment="1">
      <alignment horizontal="left" vertical="center" wrapText="1"/>
    </xf>
    <xf numFmtId="166" fontId="3" fillId="11" borderId="1" xfId="0" applyNumberFormat="1" applyFont="1" applyFill="1" applyBorder="1" applyAlignment="1">
      <alignment horizontal="left" vertical="center" wrapText="1"/>
    </xf>
    <xf numFmtId="0" fontId="3" fillId="9" borderId="1" xfId="0" applyFont="1" applyFill="1" applyBorder="1" applyAlignment="1">
      <alignment horizontal="left" vertical="center" wrapText="1"/>
    </xf>
    <xf numFmtId="0" fontId="7" fillId="10" borderId="1" xfId="0" applyFont="1" applyFill="1" applyBorder="1" applyAlignment="1">
      <alignment horizontal="left" vertical="center" wrapText="1"/>
    </xf>
    <xf numFmtId="0" fontId="3" fillId="9" borderId="29" xfId="0" applyFont="1" applyFill="1" applyBorder="1" applyAlignment="1">
      <alignment horizontal="left" vertical="center" wrapText="1"/>
    </xf>
    <xf numFmtId="0" fontId="3" fillId="9" borderId="30" xfId="0" applyFont="1" applyFill="1" applyBorder="1" applyAlignment="1">
      <alignment horizontal="left" vertical="center" wrapText="1"/>
    </xf>
    <xf numFmtId="0" fontId="3" fillId="9" borderId="0" xfId="0" applyFont="1" applyFill="1" applyBorder="1" applyAlignment="1">
      <alignment horizontal="left" vertical="center" wrapText="1"/>
    </xf>
    <xf numFmtId="0" fontId="3" fillId="9" borderId="32" xfId="0" applyFont="1" applyFill="1" applyBorder="1" applyAlignment="1">
      <alignment horizontal="left" vertical="center" wrapText="1"/>
    </xf>
    <xf numFmtId="166" fontId="7" fillId="10" borderId="1" xfId="0" applyNumberFormat="1" applyFont="1" applyFill="1" applyBorder="1" applyAlignment="1">
      <alignment horizontal="left" vertical="center" wrapText="1"/>
    </xf>
    <xf numFmtId="0" fontId="3" fillId="11" borderId="23" xfId="0" applyFont="1" applyFill="1" applyBorder="1" applyAlignment="1">
      <alignment horizontal="left" vertical="center" wrapText="1"/>
    </xf>
    <xf numFmtId="0" fontId="7" fillId="10" borderId="23" xfId="0" applyFont="1" applyFill="1" applyBorder="1" applyAlignment="1">
      <alignment horizontal="left" vertical="center" wrapText="1"/>
    </xf>
    <xf numFmtId="0" fontId="7" fillId="10" borderId="35" xfId="0" applyFont="1" applyFill="1" applyBorder="1" applyAlignment="1">
      <alignment horizontal="left" vertical="center" wrapText="1"/>
    </xf>
    <xf numFmtId="0" fontId="7" fillId="10" borderId="27" xfId="0" applyFont="1" applyFill="1" applyBorder="1" applyAlignment="1">
      <alignment horizontal="left" vertical="center" wrapText="1"/>
    </xf>
    <xf numFmtId="0" fontId="7" fillId="0" borderId="1" xfId="0" applyFont="1" applyFill="1" applyBorder="1" applyAlignment="1">
      <alignment horizontal="left" vertical="center" wrapText="1"/>
    </xf>
    <xf numFmtId="0" fontId="3" fillId="9" borderId="34" xfId="0" applyFont="1" applyFill="1" applyBorder="1" applyAlignment="1">
      <alignment horizontal="left" vertical="center" wrapText="1"/>
    </xf>
    <xf numFmtId="0" fontId="3" fillId="9" borderId="26" xfId="0" applyFont="1" applyFill="1" applyBorder="1" applyAlignment="1">
      <alignment horizontal="left" vertical="center" wrapText="1"/>
    </xf>
    <xf numFmtId="0" fontId="3" fillId="0" borderId="0" xfId="0" applyFont="1" applyAlignment="1">
      <alignment horizontal="left" vertical="center" wrapText="1"/>
    </xf>
    <xf numFmtId="166" fontId="3" fillId="11" borderId="23" xfId="0" applyNumberFormat="1" applyFont="1" applyFill="1" applyBorder="1" applyAlignment="1">
      <alignment horizontal="center" vertical="center" wrapText="1"/>
    </xf>
    <xf numFmtId="166" fontId="3" fillId="11" borderId="27" xfId="0" applyNumberFormat="1" applyFont="1" applyFill="1" applyBorder="1" applyAlignment="1">
      <alignment horizontal="center" vertical="center" wrapText="1"/>
    </xf>
    <xf numFmtId="0" fontId="7" fillId="0" borderId="28" xfId="0" applyFont="1" applyBorder="1" applyAlignment="1">
      <alignment horizontal="left" vertical="center" wrapText="1"/>
    </xf>
    <xf numFmtId="0" fontId="7" fillId="0" borderId="29" xfId="0" applyFont="1" applyBorder="1" applyAlignment="1">
      <alignment horizontal="left" vertical="center" wrapText="1"/>
    </xf>
    <xf numFmtId="0" fontId="7" fillId="0" borderId="30" xfId="0" applyFont="1" applyBorder="1" applyAlignment="1">
      <alignment horizontal="left" vertical="center" wrapText="1"/>
    </xf>
    <xf numFmtId="0" fontId="7" fillId="0" borderId="31" xfId="0" applyFont="1" applyBorder="1" applyAlignment="1">
      <alignment horizontal="left" vertical="center" wrapText="1"/>
    </xf>
    <xf numFmtId="0" fontId="7" fillId="0" borderId="0" xfId="0" applyFont="1" applyBorder="1" applyAlignment="1">
      <alignment horizontal="left" vertical="center" wrapText="1"/>
    </xf>
    <xf numFmtId="0" fontId="7" fillId="0" borderId="32" xfId="0" applyFont="1" applyBorder="1" applyAlignment="1">
      <alignment horizontal="left" vertical="center" wrapText="1"/>
    </xf>
    <xf numFmtId="0" fontId="7" fillId="0" borderId="33" xfId="0" applyFont="1" applyBorder="1" applyAlignment="1">
      <alignment horizontal="left" vertical="center" wrapText="1"/>
    </xf>
    <xf numFmtId="0" fontId="7" fillId="0" borderId="34" xfId="0" applyFont="1" applyBorder="1" applyAlignment="1">
      <alignment horizontal="left" vertical="center" wrapText="1"/>
    </xf>
    <xf numFmtId="0" fontId="7" fillId="0" borderId="26" xfId="0" applyFont="1" applyBorder="1" applyAlignment="1">
      <alignment horizontal="left" vertical="center" wrapText="1"/>
    </xf>
    <xf numFmtId="0" fontId="1" fillId="10" borderId="10" xfId="36" applyFont="1" applyFill="1" applyBorder="1" applyAlignment="1">
      <alignment horizontal="left" vertical="center" wrapText="1"/>
    </xf>
    <xf numFmtId="0" fontId="1" fillId="10" borderId="2" xfId="36" applyFont="1" applyFill="1" applyBorder="1" applyAlignment="1">
      <alignment horizontal="left" vertical="center" wrapText="1"/>
    </xf>
    <xf numFmtId="0" fontId="1" fillId="10" borderId="24" xfId="36" applyFont="1" applyFill="1" applyBorder="1" applyAlignment="1">
      <alignment horizontal="left" vertical="center" wrapText="1"/>
    </xf>
    <xf numFmtId="0" fontId="1" fillId="0" borderId="10" xfId="0" applyFont="1" applyBorder="1" applyAlignment="1">
      <alignment horizontal="left" vertical="center" wrapText="1"/>
    </xf>
    <xf numFmtId="0" fontId="1" fillId="0" borderId="2" xfId="0" applyFont="1" applyBorder="1" applyAlignment="1">
      <alignment horizontal="left" vertical="center" wrapText="1"/>
    </xf>
    <xf numFmtId="0" fontId="1" fillId="0" borderId="24" xfId="0" applyFont="1" applyBorder="1" applyAlignment="1">
      <alignment horizontal="left" vertical="center" wrapText="1"/>
    </xf>
    <xf numFmtId="0" fontId="0" fillId="0" borderId="29" xfId="0" applyBorder="1" applyAlignment="1">
      <alignment horizontal="left" vertical="center" wrapText="1"/>
    </xf>
    <xf numFmtId="0" fontId="0" fillId="0" borderId="0" xfId="0" applyBorder="1" applyAlignment="1">
      <alignment horizontal="left" vertical="center" wrapText="1"/>
    </xf>
    <xf numFmtId="0" fontId="0" fillId="0" borderId="0" xfId="0" applyAlignment="1">
      <alignment horizontal="left" vertical="center" wrapText="1"/>
    </xf>
    <xf numFmtId="0" fontId="3" fillId="9" borderId="23" xfId="0" applyFont="1" applyFill="1" applyBorder="1" applyAlignment="1">
      <alignment horizontal="left" vertical="center" wrapText="1"/>
    </xf>
    <xf numFmtId="0" fontId="3" fillId="0" borderId="10" xfId="0" applyFont="1" applyBorder="1" applyAlignment="1">
      <alignment horizontal="left" vertical="center" wrapText="1"/>
    </xf>
    <xf numFmtId="0" fontId="3" fillId="0" borderId="2" xfId="0" applyFont="1" applyBorder="1" applyAlignment="1">
      <alignment horizontal="left" vertical="center" wrapText="1"/>
    </xf>
    <xf numFmtId="0" fontId="3" fillId="0" borderId="24" xfId="0" applyFont="1" applyBorder="1" applyAlignment="1">
      <alignment horizontal="left" vertical="center" wrapText="1"/>
    </xf>
    <xf numFmtId="0" fontId="0" fillId="0" borderId="2" xfId="0" applyBorder="1" applyAlignment="1">
      <alignment horizontal="left" vertical="center" wrapText="1"/>
    </xf>
    <xf numFmtId="0" fontId="0" fillId="0" borderId="24" xfId="0" applyBorder="1" applyAlignment="1">
      <alignment horizontal="left" vertical="center" wrapText="1"/>
    </xf>
    <xf numFmtId="0" fontId="1" fillId="0" borderId="23" xfId="0" quotePrefix="1" applyFont="1" applyBorder="1" applyAlignment="1">
      <alignment horizontal="left" vertical="center" wrapText="1"/>
    </xf>
    <xf numFmtId="0" fontId="1" fillId="0" borderId="27" xfId="0" quotePrefix="1" applyFont="1" applyBorder="1" applyAlignment="1">
      <alignment horizontal="left" vertical="center" wrapText="1"/>
    </xf>
    <xf numFmtId="0" fontId="1" fillId="0" borderId="28" xfId="0" applyFont="1" applyBorder="1" applyAlignment="1">
      <alignment vertical="center" wrapText="1"/>
    </xf>
    <xf numFmtId="0" fontId="7" fillId="0" borderId="29" xfId="0" applyFont="1" applyBorder="1" applyAlignment="1">
      <alignment vertical="center" wrapText="1"/>
    </xf>
    <xf numFmtId="0" fontId="7" fillId="0" borderId="30" xfId="0" applyFont="1" applyBorder="1" applyAlignment="1">
      <alignment vertical="center" wrapText="1"/>
    </xf>
    <xf numFmtId="0" fontId="7" fillId="0" borderId="33" xfId="0" applyFont="1" applyBorder="1" applyAlignment="1">
      <alignment vertical="center" wrapText="1"/>
    </xf>
    <xf numFmtId="0" fontId="7" fillId="0" borderId="34" xfId="0" applyFont="1" applyBorder="1" applyAlignment="1">
      <alignment vertical="center" wrapText="1"/>
    </xf>
    <xf numFmtId="0" fontId="7" fillId="0" borderId="26" xfId="0" applyFont="1" applyBorder="1" applyAlignment="1">
      <alignment vertical="center" wrapText="1"/>
    </xf>
    <xf numFmtId="0" fontId="36" fillId="0" borderId="23" xfId="0" applyFont="1" applyBorder="1" applyAlignment="1">
      <alignment horizontal="center" vertical="center" wrapText="1"/>
    </xf>
    <xf numFmtId="0" fontId="36" fillId="0" borderId="27" xfId="0" applyFont="1" applyBorder="1" applyAlignment="1">
      <alignment horizontal="center" vertical="center" wrapText="1"/>
    </xf>
    <xf numFmtId="0" fontId="7" fillId="0" borderId="23" xfId="0" applyFont="1" applyBorder="1" applyAlignment="1">
      <alignment horizontal="center" vertical="center" wrapText="1"/>
    </xf>
    <xf numFmtId="0" fontId="7" fillId="0" borderId="35" xfId="0" applyFont="1" applyBorder="1" applyAlignment="1">
      <alignment horizontal="center" vertical="center" wrapText="1"/>
    </xf>
    <xf numFmtId="0" fontId="7" fillId="0" borderId="27" xfId="0" applyFont="1" applyBorder="1" applyAlignment="1">
      <alignment horizontal="center" vertical="center" wrapText="1"/>
    </xf>
    <xf numFmtId="0" fontId="1" fillId="0" borderId="1"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24" xfId="0" applyFont="1" applyBorder="1" applyAlignment="1">
      <alignment horizontal="center" vertical="center" wrapText="1"/>
    </xf>
    <xf numFmtId="0" fontId="1" fillId="0" borderId="1" xfId="0" applyFont="1" applyBorder="1" applyAlignment="1">
      <alignment horizontal="left" vertical="center" wrapText="1"/>
    </xf>
    <xf numFmtId="0" fontId="1" fillId="0" borderId="23" xfId="0" applyFont="1" applyBorder="1" applyAlignment="1">
      <alignment horizontal="center" vertical="center" wrapText="1"/>
    </xf>
    <xf numFmtId="0" fontId="1" fillId="0" borderId="35" xfId="0" applyFont="1" applyBorder="1" applyAlignment="1">
      <alignment horizontal="center" vertical="center" wrapText="1"/>
    </xf>
    <xf numFmtId="0" fontId="1" fillId="0" borderId="27" xfId="0" applyFont="1" applyBorder="1" applyAlignment="1">
      <alignment horizontal="center" vertical="center" wrapText="1"/>
    </xf>
    <xf numFmtId="0" fontId="36" fillId="0" borderId="10" xfId="0" applyFont="1" applyBorder="1" applyAlignment="1">
      <alignment horizontal="left" vertical="center"/>
    </xf>
    <xf numFmtId="0" fontId="36" fillId="0" borderId="2" xfId="0" applyFont="1" applyBorder="1" applyAlignment="1">
      <alignment horizontal="left" vertical="center"/>
    </xf>
    <xf numFmtId="0" fontId="36" fillId="0" borderId="24" xfId="0" applyFont="1" applyBorder="1" applyAlignment="1">
      <alignment horizontal="left" vertical="center"/>
    </xf>
    <xf numFmtId="0" fontId="36" fillId="0" borderId="10" xfId="0" applyFont="1" applyBorder="1" applyAlignment="1">
      <alignment horizontal="left" vertical="center" wrapText="1"/>
    </xf>
    <xf numFmtId="0" fontId="36" fillId="0" borderId="2" xfId="0" applyFont="1" applyBorder="1" applyAlignment="1">
      <alignment horizontal="left" vertical="center" wrapText="1"/>
    </xf>
    <xf numFmtId="0" fontId="36" fillId="0" borderId="24" xfId="0" applyFont="1" applyBorder="1" applyAlignment="1">
      <alignment horizontal="left" vertical="center" wrapText="1"/>
    </xf>
    <xf numFmtId="0" fontId="36" fillId="0" borderId="1" xfId="0" applyFont="1" applyBorder="1" applyAlignment="1">
      <alignment horizontal="left" vertical="center"/>
    </xf>
    <xf numFmtId="0" fontId="36" fillId="0" borderId="1" xfId="0" applyFont="1" applyBorder="1" applyAlignment="1">
      <alignment horizontal="left" vertical="center" wrapText="1"/>
    </xf>
    <xf numFmtId="0" fontId="36" fillId="0" borderId="1" xfId="0" applyFont="1" applyBorder="1" applyAlignment="1">
      <alignment vertical="center" wrapText="1"/>
    </xf>
    <xf numFmtId="0" fontId="1" fillId="0" borderId="28" xfId="0" applyFont="1" applyBorder="1" applyAlignment="1">
      <alignment horizontal="center" vertical="center" wrapText="1"/>
    </xf>
    <xf numFmtId="0" fontId="1" fillId="0" borderId="29"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33" xfId="0" applyFont="1" applyBorder="1" applyAlignment="1">
      <alignment horizontal="center" vertical="center" wrapText="1"/>
    </xf>
    <xf numFmtId="0" fontId="1" fillId="0" borderId="34" xfId="0" applyFont="1" applyBorder="1" applyAlignment="1">
      <alignment horizontal="center" vertical="center" wrapText="1"/>
    </xf>
    <xf numFmtId="0" fontId="1" fillId="0" borderId="26" xfId="0" applyFont="1" applyBorder="1" applyAlignment="1">
      <alignment horizontal="center" vertical="center" wrapText="1"/>
    </xf>
    <xf numFmtId="0" fontId="36" fillId="0" borderId="35" xfId="0" applyFont="1" applyBorder="1" applyAlignment="1">
      <alignment horizontal="center" vertical="center" wrapText="1"/>
    </xf>
    <xf numFmtId="0" fontId="1" fillId="0" borderId="30" xfId="0" applyFont="1" applyBorder="1" applyAlignment="1">
      <alignment horizontal="left" vertical="center" wrapText="1"/>
    </xf>
    <xf numFmtId="0" fontId="36" fillId="0" borderId="1" xfId="0" applyFont="1" applyBorder="1" applyAlignment="1">
      <alignment horizontal="center" vertical="center"/>
    </xf>
    <xf numFmtId="0" fontId="36" fillId="0" borderId="23" xfId="0" applyFont="1" applyBorder="1" applyAlignment="1">
      <alignment horizontal="center" vertical="center"/>
    </xf>
    <xf numFmtId="0" fontId="1" fillId="10" borderId="1" xfId="0" applyFont="1" applyFill="1" applyBorder="1" applyAlignment="1">
      <alignment horizontal="left" vertical="center" wrapText="1"/>
    </xf>
    <xf numFmtId="0" fontId="1" fillId="0" borderId="24" xfId="0" applyFont="1" applyBorder="1" applyAlignment="1">
      <alignment horizontal="center" vertical="center" wrapText="1"/>
    </xf>
    <xf numFmtId="0" fontId="3" fillId="0" borderId="34" xfId="0" applyFont="1" applyBorder="1" applyAlignment="1">
      <alignment horizontal="left"/>
    </xf>
    <xf numFmtId="0" fontId="7" fillId="4" borderId="4" xfId="0" applyFont="1" applyFill="1" applyBorder="1" applyAlignment="1">
      <alignment horizontal="left"/>
    </xf>
    <xf numFmtId="0" fontId="7" fillId="4" borderId="5" xfId="0" applyFont="1" applyFill="1" applyBorder="1" applyAlignment="1">
      <alignment horizontal="left"/>
    </xf>
    <xf numFmtId="0" fontId="7" fillId="19" borderId="3" xfId="0" applyFont="1" applyFill="1" applyBorder="1" applyAlignment="1">
      <alignment horizontal="left"/>
    </xf>
    <xf numFmtId="0" fontId="7" fillId="19" borderId="4" xfId="0" applyFont="1" applyFill="1" applyBorder="1" applyAlignment="1">
      <alignment horizontal="left"/>
    </xf>
    <xf numFmtId="0" fontId="7" fillId="19" borderId="5" xfId="0" applyFont="1" applyFill="1" applyBorder="1" applyAlignment="1">
      <alignment horizontal="left"/>
    </xf>
    <xf numFmtId="0" fontId="7" fillId="15" borderId="3" xfId="0" applyFont="1" applyFill="1" applyBorder="1" applyAlignment="1">
      <alignment horizontal="left"/>
    </xf>
    <xf numFmtId="0" fontId="7" fillId="15" borderId="4" xfId="0" applyFont="1" applyFill="1" applyBorder="1" applyAlignment="1">
      <alignment horizontal="left"/>
    </xf>
    <xf numFmtId="0" fontId="7" fillId="15" borderId="5" xfId="0" applyFont="1" applyFill="1" applyBorder="1" applyAlignment="1">
      <alignment horizontal="left"/>
    </xf>
    <xf numFmtId="0" fontId="7" fillId="4" borderId="3" xfId="0" applyFont="1" applyFill="1" applyBorder="1" applyAlignment="1">
      <alignment horizontal="left"/>
    </xf>
    <xf numFmtId="0" fontId="7" fillId="18" borderId="3" xfId="0" applyFont="1" applyFill="1" applyBorder="1" applyAlignment="1">
      <alignment horizontal="left"/>
    </xf>
    <xf numFmtId="0" fontId="7" fillId="18" borderId="4" xfId="0" applyFont="1" applyFill="1" applyBorder="1" applyAlignment="1">
      <alignment horizontal="left"/>
    </xf>
    <xf numFmtId="0" fontId="7" fillId="18" borderId="5" xfId="0" applyFont="1" applyFill="1" applyBorder="1" applyAlignment="1">
      <alignment horizontal="left"/>
    </xf>
    <xf numFmtId="49" fontId="1" fillId="12" borderId="1" xfId="0" applyNumberFormat="1" applyFont="1" applyFill="1" applyBorder="1" applyAlignment="1" applyProtection="1">
      <alignment horizontal="right"/>
      <protection locked="0"/>
    </xf>
    <xf numFmtId="49" fontId="7" fillId="12" borderId="1" xfId="0" applyNumberFormat="1" applyFont="1" applyFill="1" applyBorder="1" applyAlignment="1" applyProtection="1">
      <alignment horizontal="right"/>
      <protection locked="0"/>
    </xf>
    <xf numFmtId="0" fontId="7" fillId="0" borderId="1" xfId="0" applyFont="1" applyFill="1" applyBorder="1" applyAlignment="1">
      <alignment horizontal="left"/>
    </xf>
    <xf numFmtId="0" fontId="7" fillId="0" borderId="10" xfId="0" applyFont="1" applyFill="1" applyBorder="1" applyAlignment="1">
      <alignment horizontal="left"/>
    </xf>
    <xf numFmtId="0" fontId="8" fillId="0" borderId="28" xfId="0" applyFont="1" applyBorder="1" applyAlignment="1">
      <alignment horizontal="center" vertical="top" wrapText="1"/>
    </xf>
    <xf numFmtId="0" fontId="8" fillId="0" borderId="35" xfId="0" applyFont="1" applyBorder="1" applyAlignment="1">
      <alignment horizontal="center" vertical="top" wrapText="1"/>
    </xf>
    <xf numFmtId="0" fontId="8" fillId="0" borderId="27" xfId="0" applyFont="1" applyBorder="1" applyAlignment="1">
      <alignment horizontal="center" vertical="top" wrapText="1"/>
    </xf>
    <xf numFmtId="0" fontId="1" fillId="0" borderId="28" xfId="0" applyFont="1" applyFill="1" applyBorder="1" applyAlignment="1">
      <alignment horizontal="left" wrapText="1"/>
    </xf>
    <xf numFmtId="0" fontId="1" fillId="0" borderId="29" xfId="0" applyFont="1" applyFill="1" applyBorder="1" applyAlignment="1">
      <alignment horizontal="left" wrapText="1"/>
    </xf>
    <xf numFmtId="0" fontId="3" fillId="0" borderId="0" xfId="0" applyFont="1" applyAlignment="1">
      <alignment horizontal="center"/>
    </xf>
    <xf numFmtId="0" fontId="3" fillId="0" borderId="1" xfId="0" applyFont="1" applyBorder="1" applyAlignment="1">
      <alignment horizontal="center" vertical="top"/>
    </xf>
    <xf numFmtId="0" fontId="0" fillId="20" borderId="3" xfId="0" applyFill="1" applyBorder="1" applyAlignment="1">
      <alignment horizontal="center" wrapText="1"/>
    </xf>
    <xf numFmtId="0" fontId="0" fillId="20" borderId="4" xfId="0" applyFill="1" applyBorder="1" applyAlignment="1">
      <alignment horizontal="center" wrapText="1"/>
    </xf>
    <xf numFmtId="0" fontId="0" fillId="20" borderId="5" xfId="0" applyFill="1" applyBorder="1" applyAlignment="1">
      <alignment horizontal="center" wrapText="1"/>
    </xf>
    <xf numFmtId="0" fontId="3" fillId="0" borderId="39" xfId="0" applyFont="1" applyBorder="1" applyAlignment="1">
      <alignment horizontal="right"/>
    </xf>
    <xf numFmtId="0" fontId="3" fillId="0" borderId="40" xfId="0" applyFont="1" applyBorder="1" applyAlignment="1">
      <alignment horizontal="right"/>
    </xf>
    <xf numFmtId="0" fontId="6" fillId="0" borderId="39" xfId="0" applyFont="1" applyBorder="1" applyAlignment="1">
      <alignment horizontal="right"/>
    </xf>
    <xf numFmtId="0" fontId="6" fillId="0" borderId="40" xfId="0" applyFont="1" applyBorder="1" applyAlignment="1">
      <alignment horizontal="right"/>
    </xf>
    <xf numFmtId="0" fontId="7" fillId="17" borderId="3" xfId="0" applyFont="1" applyFill="1" applyBorder="1" applyAlignment="1">
      <alignment horizontal="left"/>
    </xf>
    <xf numFmtId="0" fontId="7" fillId="17" borderId="4" xfId="0" applyFont="1" applyFill="1" applyBorder="1" applyAlignment="1">
      <alignment horizontal="left"/>
    </xf>
    <xf numFmtId="0" fontId="7" fillId="17" borderId="5" xfId="0" applyFont="1" applyFill="1" applyBorder="1" applyAlignment="1">
      <alignment horizontal="left"/>
    </xf>
    <xf numFmtId="0" fontId="0" fillId="16" borderId="3" xfId="0" applyFill="1" applyBorder="1" applyAlignment="1">
      <alignment horizontal="left" wrapText="1"/>
    </xf>
    <xf numFmtId="0" fontId="0" fillId="16" borderId="4" xfId="0" applyFill="1" applyBorder="1" applyAlignment="1">
      <alignment horizontal="left" wrapText="1"/>
    </xf>
    <xf numFmtId="0" fontId="0" fillId="16" borderId="5" xfId="0" applyFill="1" applyBorder="1" applyAlignment="1">
      <alignment horizontal="left" wrapText="1"/>
    </xf>
    <xf numFmtId="14" fontId="0" fillId="0" borderId="12" xfId="0" applyNumberFormat="1" applyBorder="1" applyAlignment="1">
      <alignment horizontal="right"/>
    </xf>
    <xf numFmtId="0" fontId="0" fillId="0" borderId="8" xfId="0" applyBorder="1" applyAlignment="1">
      <alignment horizontal="right"/>
    </xf>
    <xf numFmtId="0" fontId="0" fillId="0" borderId="9" xfId="0" applyBorder="1" applyAlignment="1">
      <alignment horizontal="right"/>
    </xf>
    <xf numFmtId="14" fontId="7" fillId="0" borderId="12" xfId="0" applyNumberFormat="1" applyFont="1" applyBorder="1" applyAlignment="1">
      <alignment horizontal="right"/>
    </xf>
    <xf numFmtId="0" fontId="7" fillId="0" borderId="8" xfId="0" applyFont="1" applyBorder="1" applyAlignment="1">
      <alignment horizontal="right"/>
    </xf>
    <xf numFmtId="0" fontId="7" fillId="0" borderId="9" xfId="0" applyFont="1" applyBorder="1" applyAlignment="1">
      <alignment horizontal="right"/>
    </xf>
    <xf numFmtId="0" fontId="0" fillId="21" borderId="3" xfId="0" applyFill="1" applyBorder="1" applyAlignment="1">
      <alignment horizontal="left"/>
    </xf>
    <xf numFmtId="0" fontId="0" fillId="21" borderId="4" xfId="0" applyFill="1" applyBorder="1" applyAlignment="1">
      <alignment horizontal="left"/>
    </xf>
    <xf numFmtId="0" fontId="0" fillId="21" borderId="5" xfId="0" applyFill="1" applyBorder="1" applyAlignment="1">
      <alignment horizontal="left"/>
    </xf>
    <xf numFmtId="0" fontId="7" fillId="22" borderId="3" xfId="0" applyFont="1" applyFill="1" applyBorder="1" applyAlignment="1">
      <alignment horizontal="left"/>
    </xf>
    <xf numFmtId="0" fontId="7" fillId="22" borderId="4" xfId="0" applyFont="1" applyFill="1" applyBorder="1" applyAlignment="1">
      <alignment horizontal="left"/>
    </xf>
    <xf numFmtId="0" fontId="7" fillId="22" borderId="5" xfId="0" applyFont="1" applyFill="1" applyBorder="1" applyAlignment="1">
      <alignment horizontal="left"/>
    </xf>
    <xf numFmtId="0" fontId="7" fillId="4" borderId="3" xfId="0" applyFont="1" applyFill="1" applyBorder="1" applyAlignment="1">
      <alignment horizontal="center"/>
    </xf>
    <xf numFmtId="0" fontId="7" fillId="4" borderId="4" xfId="0" applyFont="1" applyFill="1" applyBorder="1" applyAlignment="1">
      <alignment horizontal="center"/>
    </xf>
    <xf numFmtId="0" fontId="7" fillId="4" borderId="5" xfId="0" applyFont="1" applyFill="1" applyBorder="1" applyAlignment="1">
      <alignment horizontal="center"/>
    </xf>
    <xf numFmtId="1" fontId="3" fillId="0" borderId="40" xfId="0" applyNumberFormat="1" applyFont="1" applyBorder="1" applyAlignment="1">
      <alignment horizontal="right"/>
    </xf>
    <xf numFmtId="1" fontId="3" fillId="0" borderId="14" xfId="0" applyNumberFormat="1" applyFont="1" applyBorder="1" applyAlignment="1">
      <alignment horizontal="right"/>
    </xf>
    <xf numFmtId="0" fontId="7" fillId="14" borderId="3" xfId="0" applyFont="1" applyFill="1" applyBorder="1" applyAlignment="1">
      <alignment horizontal="left" textRotation="90" wrapText="1"/>
    </xf>
    <xf numFmtId="0" fontId="7" fillId="14" borderId="5" xfId="0" applyFont="1" applyFill="1" applyBorder="1" applyAlignment="1">
      <alignment horizontal="left" textRotation="90" wrapText="1"/>
    </xf>
    <xf numFmtId="0" fontId="0" fillId="19" borderId="3" xfId="0" applyFill="1" applyBorder="1" applyAlignment="1">
      <alignment horizontal="left"/>
    </xf>
    <xf numFmtId="0" fontId="0" fillId="19" borderId="4" xfId="0" applyFill="1" applyBorder="1" applyAlignment="1">
      <alignment horizontal="left"/>
    </xf>
    <xf numFmtId="0" fontId="0" fillId="19" borderId="5" xfId="0" applyFill="1" applyBorder="1" applyAlignment="1">
      <alignment horizontal="left"/>
    </xf>
    <xf numFmtId="0" fontId="0" fillId="16" borderId="3" xfId="0" applyFill="1" applyBorder="1" applyAlignment="1">
      <alignment horizontal="center" wrapText="1"/>
    </xf>
    <xf numFmtId="0" fontId="0" fillId="16" borderId="4" xfId="0" applyFill="1" applyBorder="1" applyAlignment="1">
      <alignment horizontal="center" wrapText="1"/>
    </xf>
    <xf numFmtId="0" fontId="0" fillId="16" borderId="5" xfId="0" applyFill="1" applyBorder="1" applyAlignment="1">
      <alignment horizontal="center" wrapText="1"/>
    </xf>
    <xf numFmtId="0" fontId="3" fillId="0" borderId="30" xfId="0" applyFont="1" applyBorder="1" applyAlignment="1">
      <alignment horizontal="left" vertical="center"/>
    </xf>
    <xf numFmtId="0" fontId="3" fillId="0" borderId="32" xfId="0" applyFont="1" applyBorder="1" applyAlignment="1">
      <alignment horizontal="left" vertical="center"/>
    </xf>
  </cellXfs>
  <cellStyles count="48">
    <cellStyle name="20% - Ênfase1" xfId="1" builtinId="30" customBuiltin="1"/>
    <cellStyle name="20% - Ênfase2" xfId="2" builtinId="34" customBuiltin="1"/>
    <cellStyle name="20% - Ênfase3" xfId="3" builtinId="38" customBuiltin="1"/>
    <cellStyle name="20% - Ênfase4" xfId="4" builtinId="42" customBuiltin="1"/>
    <cellStyle name="20% - Ênfase5" xfId="5" builtinId="46" customBuiltin="1"/>
    <cellStyle name="20% - Ênfase6" xfId="6" builtinId="50" customBuiltin="1"/>
    <cellStyle name="40% - Ênfase1" xfId="7" builtinId="31" customBuiltin="1"/>
    <cellStyle name="40% - Ênfase2" xfId="8" builtinId="35" customBuiltin="1"/>
    <cellStyle name="40% - Ênfase3" xfId="9" builtinId="39" customBuiltin="1"/>
    <cellStyle name="40% - Ênfase4" xfId="10" builtinId="43" customBuiltin="1"/>
    <cellStyle name="40% - Ênfase5" xfId="11" builtinId="47" customBuiltin="1"/>
    <cellStyle name="40% - Ênfase6" xfId="12" builtinId="51" customBuiltin="1"/>
    <cellStyle name="60% - Ênfase1" xfId="13" builtinId="32" customBuiltin="1"/>
    <cellStyle name="60% - Ênfase2" xfId="14" builtinId="36" customBuiltin="1"/>
    <cellStyle name="60% - Ênfase3" xfId="15" builtinId="40" customBuiltin="1"/>
    <cellStyle name="60% - Ênfase4" xfId="16" builtinId="44" customBuiltin="1"/>
    <cellStyle name="60% - Ênfase5" xfId="17" builtinId="48" customBuiltin="1"/>
    <cellStyle name="60% - Ênfase6" xfId="18" builtinId="52" customBuiltin="1"/>
    <cellStyle name="Bom" xfId="19" builtinId="26" customBuiltin="1"/>
    <cellStyle name="Cálculo" xfId="20" builtinId="22" customBuiltin="1"/>
    <cellStyle name="Célula de Verificação" xfId="21" builtinId="23" customBuiltin="1"/>
    <cellStyle name="Célula Vinculada" xfId="22" builtinId="24" customBuiltin="1"/>
    <cellStyle name="Ênfase1" xfId="23" builtinId="29" customBuiltin="1"/>
    <cellStyle name="Ênfase2" xfId="24" builtinId="33" customBuiltin="1"/>
    <cellStyle name="Ênfase3" xfId="25" builtinId="37" customBuiltin="1"/>
    <cellStyle name="Ênfase4" xfId="26" builtinId="41" customBuiltin="1"/>
    <cellStyle name="Ênfase5" xfId="27" builtinId="45" customBuiltin="1"/>
    <cellStyle name="Ênfase6" xfId="28" builtinId="49" customBuiltin="1"/>
    <cellStyle name="Entrada" xfId="29" builtinId="20" customBuiltin="1"/>
    <cellStyle name="Hiperlink" xfId="30" builtinId="8"/>
    <cellStyle name="Incorreto" xfId="31" builtinId="27" customBuiltin="1"/>
    <cellStyle name="Moeda" xfId="32" builtinId="4"/>
    <cellStyle name="Moeda 2" xfId="33"/>
    <cellStyle name="Neutra" xfId="34" builtinId="28" customBuiltin="1"/>
    <cellStyle name="Normal" xfId="0" builtinId="0"/>
    <cellStyle name="Normal 2" xfId="35"/>
    <cellStyle name="Normal 3" xfId="36"/>
    <cellStyle name="Normal 4" xfId="37"/>
    <cellStyle name="Nota 2" xfId="38"/>
    <cellStyle name="Saída" xfId="39" builtinId="21" customBuiltin="1"/>
    <cellStyle name="Texto de Aviso" xfId="40" builtinId="11" customBuiltin="1"/>
    <cellStyle name="Texto Explicativo" xfId="41" builtinId="53" customBuiltin="1"/>
    <cellStyle name="Título" xfId="42" builtinId="15" customBuiltin="1"/>
    <cellStyle name="Título 1" xfId="43" builtinId="16" customBuiltin="1"/>
    <cellStyle name="Título 2" xfId="44" builtinId="17" customBuiltin="1"/>
    <cellStyle name="Título 3" xfId="45" builtinId="18" customBuiltin="1"/>
    <cellStyle name="Título 4" xfId="46" builtinId="19" customBuiltin="1"/>
    <cellStyle name="Total" xfId="4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trodu&#231;&#227;o!A1"/><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hyperlink" Target="#Introdu&#231;&#227;o!A1"/><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2" Type="http://schemas.openxmlformats.org/officeDocument/2006/relationships/hyperlink" Target="#Introdu&#231;&#227;o!A1"/><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hyperlink" Target="#Introdu&#231;&#227;o!A1"/></Relationships>
</file>

<file path=xl/drawings/_rels/drawing6.xml.rels><?xml version="1.0" encoding="UTF-8" standalone="yes"?>
<Relationships xmlns="http://schemas.openxmlformats.org/package/2006/relationships"><Relationship Id="rId1" Type="http://schemas.openxmlformats.org/officeDocument/2006/relationships/hyperlink" Target="#Introdu&#231;&#227;o!A1"/></Relationships>
</file>

<file path=xl/drawings/_rels/drawing7.xml.rels><?xml version="1.0" encoding="UTF-8" standalone="yes"?>
<Relationships xmlns="http://schemas.openxmlformats.org/package/2006/relationships"><Relationship Id="rId1" Type="http://schemas.openxmlformats.org/officeDocument/2006/relationships/hyperlink" Target="#Introdu&#231;&#227;o!A1"/></Relationships>
</file>

<file path=xl/drawings/_rels/drawing8.xml.rels><?xml version="1.0" encoding="UTF-8" standalone="yes"?>
<Relationships xmlns="http://schemas.openxmlformats.org/package/2006/relationships"><Relationship Id="rId1" Type="http://schemas.openxmlformats.org/officeDocument/2006/relationships/hyperlink" Target="#Introdu&#231;&#227;o!A1"/></Relationships>
</file>

<file path=xl/drawings/_rels/drawing9.xml.rels><?xml version="1.0" encoding="UTF-8" standalone="yes"?>
<Relationships xmlns="http://schemas.openxmlformats.org/package/2006/relationships"><Relationship Id="rId1" Type="http://schemas.openxmlformats.org/officeDocument/2006/relationships/hyperlink" Target="#Introdu&#231;&#227;o!A1"/></Relationships>
</file>

<file path=xl/drawings/_rels/drawing10.xml.rels><?xml version="1.0" encoding="UTF-8" standalone="yes"?>
<Relationships xmlns="http://schemas.openxmlformats.org/package/2006/relationships"><Relationship Id="rId1" Type="http://schemas.openxmlformats.org/officeDocument/2006/relationships/hyperlink" Target="#Introdu&#231;&#227;o!A1"/></Relationships>
</file>

<file path=xl/drawings/drawing1.xml><?xml version="1.0" encoding="utf-8"?>
<xdr:wsDr xmlns:xdr="http://schemas.openxmlformats.org/drawingml/2006/spreadsheetDrawing" xmlns:a="http://schemas.openxmlformats.org/drawingml/2006/main">
  <xdr:twoCellAnchor editAs="oneCell">
    <xdr:from>
      <xdr:col>0</xdr:col>
      <xdr:colOff>209550</xdr:colOff>
      <xdr:row>0</xdr:row>
      <xdr:rowOff>57150</xdr:rowOff>
    </xdr:from>
    <xdr:to>
      <xdr:col>0</xdr:col>
      <xdr:colOff>1628775</xdr:colOff>
      <xdr:row>1</xdr:row>
      <xdr:rowOff>361950</xdr:rowOff>
    </xdr:to>
    <xdr:pic>
      <xdr:nvPicPr>
        <xdr:cNvPr id="5502" name="Picture 17" descr="Logo Sicoob"/>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57150"/>
          <a:ext cx="141922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19050</xdr:colOff>
      <xdr:row>29</xdr:row>
      <xdr:rowOff>0</xdr:rowOff>
    </xdr:to>
    <xdr:sp macro="" textlink="">
      <xdr:nvSpPr>
        <xdr:cNvPr id="4" name="CaixaDeTexto 3"/>
        <xdr:cNvSpPr txBox="1"/>
      </xdr:nvSpPr>
      <xdr:spPr>
        <a:xfrm>
          <a:off x="0" y="0"/>
          <a:ext cx="8715375" cy="4743450"/>
        </a:xfrm>
        <a:prstGeom prst="rect">
          <a:avLst/>
        </a:prstGeom>
        <a:ln w="9525"/>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r"/>
          <a:r>
            <a:rPr lang="pt-BR" sz="1000" b="1">
              <a:solidFill>
                <a:schemeClr val="dk1"/>
              </a:solidFill>
              <a:effectLst/>
              <a:latin typeface="Arial" pitchFamily="34" charset="0"/>
              <a:ea typeface="+mn-ea"/>
              <a:cs typeface="Arial" pitchFamily="34" charset="0"/>
            </a:rPr>
            <a:t>Voltar</a:t>
          </a:r>
          <a:endParaRPr lang="pt-BR" sz="1100" b="1">
            <a:solidFill>
              <a:schemeClr val="dk1"/>
            </a:solidFill>
            <a:effectLst/>
            <a:latin typeface="Arial" pitchFamily="34" charset="0"/>
            <a:ea typeface="+mn-ea"/>
            <a:cs typeface="Arial" pitchFamily="34" charset="0"/>
          </a:endParaRPr>
        </a:p>
        <a:p>
          <a:r>
            <a:rPr lang="pt-BR" sz="1000" b="1">
              <a:solidFill>
                <a:schemeClr val="dk1"/>
              </a:solidFill>
              <a:effectLst/>
              <a:latin typeface="Arial" pitchFamily="34" charset="0"/>
              <a:ea typeface="+mn-ea"/>
              <a:cs typeface="Arial" pitchFamily="34" charset="0"/>
            </a:rPr>
            <a:t>RECOMENDAÇÕES PARA IMPLANTAÇÃO DO SERVIÇO DE COBRANÇA BANCÁRIA</a:t>
          </a:r>
          <a:endParaRPr lang="pt-BR" sz="1000">
            <a:solidFill>
              <a:schemeClr val="dk1"/>
            </a:solidFill>
            <a:effectLst/>
            <a:latin typeface="Arial" pitchFamily="34" charset="0"/>
            <a:ea typeface="+mn-ea"/>
            <a:cs typeface="Arial" pitchFamily="34" charset="0"/>
          </a:endParaRPr>
        </a:p>
        <a:p>
          <a:r>
            <a:rPr lang="pt-BR" sz="1000">
              <a:solidFill>
                <a:schemeClr val="dk1"/>
              </a:solidFill>
              <a:effectLst/>
              <a:latin typeface="Arial" pitchFamily="34" charset="0"/>
              <a:ea typeface="+mn-ea"/>
              <a:cs typeface="Arial" pitchFamily="34" charset="0"/>
            </a:rPr>
            <a:t>Na implantação da cobrança bancária Sicoob, poderão ser utilizados os Layout's CNAB240 e CNAB400 sendo do próprio associado a escolha de qual dos Layout's será utilizado.</a:t>
          </a:r>
        </a:p>
        <a:p>
          <a:r>
            <a:rPr lang="pt-BR" sz="1000">
              <a:solidFill>
                <a:schemeClr val="dk1"/>
              </a:solidFill>
              <a:effectLst/>
              <a:latin typeface="Arial" pitchFamily="34" charset="0"/>
              <a:ea typeface="+mn-ea"/>
              <a:cs typeface="Arial" pitchFamily="34" charset="0"/>
            </a:rPr>
            <a:t> </a:t>
          </a:r>
        </a:p>
        <a:p>
          <a:r>
            <a:rPr lang="pt-BR" sz="1000" b="1">
              <a:solidFill>
                <a:schemeClr val="dk1"/>
              </a:solidFill>
              <a:effectLst/>
              <a:latin typeface="Arial" pitchFamily="34" charset="0"/>
              <a:ea typeface="+mn-ea"/>
              <a:cs typeface="Arial" pitchFamily="34" charset="0"/>
            </a:rPr>
            <a:t>CNAB 400:</a:t>
          </a:r>
          <a:endParaRPr lang="pt-BR" sz="1000">
            <a:solidFill>
              <a:schemeClr val="dk1"/>
            </a:solidFill>
            <a:effectLst/>
            <a:latin typeface="Arial" pitchFamily="34" charset="0"/>
            <a:ea typeface="+mn-ea"/>
            <a:cs typeface="Arial" pitchFamily="34" charset="0"/>
          </a:endParaRPr>
        </a:p>
        <a:p>
          <a:r>
            <a:rPr lang="pt-BR" sz="1000">
              <a:solidFill>
                <a:schemeClr val="dk1"/>
              </a:solidFill>
              <a:effectLst/>
              <a:latin typeface="Arial" pitchFamily="34" charset="0"/>
              <a:ea typeface="+mn-ea"/>
              <a:cs typeface="Arial" pitchFamily="34" charset="0"/>
            </a:rPr>
            <a:t>O arquivo CNAB 400 é um arquivo que possui uma quantidade menor de informações a serem utilizadas e estão limitadas em 400 posições para cada registro.</a:t>
          </a:r>
        </a:p>
        <a:p>
          <a:r>
            <a:rPr lang="pt-BR" sz="1000" b="1">
              <a:solidFill>
                <a:schemeClr val="dk1"/>
              </a:solidFill>
              <a:effectLst/>
              <a:latin typeface="Arial" pitchFamily="34" charset="0"/>
              <a:ea typeface="+mn-ea"/>
              <a:cs typeface="Arial" pitchFamily="34" charset="0"/>
            </a:rPr>
            <a:t> </a:t>
          </a:r>
          <a:endParaRPr lang="pt-BR" sz="1000">
            <a:solidFill>
              <a:schemeClr val="dk1"/>
            </a:solidFill>
            <a:effectLst/>
            <a:latin typeface="Arial" pitchFamily="34" charset="0"/>
            <a:ea typeface="+mn-ea"/>
            <a:cs typeface="Arial" pitchFamily="34" charset="0"/>
          </a:endParaRPr>
        </a:p>
        <a:p>
          <a:r>
            <a:rPr lang="pt-BR" sz="1000" b="1">
              <a:solidFill>
                <a:schemeClr val="dk1"/>
              </a:solidFill>
              <a:effectLst/>
              <a:latin typeface="Arial" pitchFamily="34" charset="0"/>
              <a:ea typeface="+mn-ea"/>
              <a:cs typeface="Arial" pitchFamily="34" charset="0"/>
            </a:rPr>
            <a:t>CNAB 240:</a:t>
          </a:r>
          <a:endParaRPr lang="pt-BR" sz="1000">
            <a:solidFill>
              <a:schemeClr val="dk1"/>
            </a:solidFill>
            <a:effectLst/>
            <a:latin typeface="Arial" pitchFamily="34" charset="0"/>
            <a:ea typeface="+mn-ea"/>
            <a:cs typeface="Arial" pitchFamily="34" charset="0"/>
          </a:endParaRPr>
        </a:p>
        <a:p>
          <a:r>
            <a:rPr lang="pt-BR" sz="1000">
              <a:solidFill>
                <a:schemeClr val="dk1"/>
              </a:solidFill>
              <a:effectLst/>
              <a:latin typeface="Arial" pitchFamily="34" charset="0"/>
              <a:ea typeface="+mn-ea"/>
              <a:cs typeface="Arial" pitchFamily="34" charset="0"/>
            </a:rPr>
            <a:t>O Arquivo CNAB 240 possui uma quantidade muito maior de informações, pois para cada título as informações são segmentadas em 4 segmentos de 240 posições para cada um dos títulos dentro de um mesmo arquivo.</a:t>
          </a:r>
        </a:p>
        <a:p>
          <a:r>
            <a:rPr lang="pt-BR" sz="1000">
              <a:solidFill>
                <a:schemeClr val="dk1"/>
              </a:solidFill>
              <a:effectLst/>
              <a:latin typeface="Arial" pitchFamily="34" charset="0"/>
              <a:ea typeface="+mn-ea"/>
              <a:cs typeface="Arial" pitchFamily="34" charset="0"/>
            </a:rPr>
            <a:t> </a:t>
          </a:r>
        </a:p>
        <a:p>
          <a:r>
            <a:rPr lang="pt-BR" sz="1000">
              <a:solidFill>
                <a:schemeClr val="dk1"/>
              </a:solidFill>
              <a:effectLst/>
              <a:latin typeface="Arial" pitchFamily="34" charset="0"/>
              <a:ea typeface="+mn-ea"/>
              <a:cs typeface="Arial" pitchFamily="34" charset="0"/>
            </a:rPr>
            <a:t> </a:t>
          </a:r>
        </a:p>
        <a:p>
          <a:r>
            <a:rPr lang="pt-BR" sz="1000" b="1">
              <a:solidFill>
                <a:schemeClr val="dk1"/>
              </a:solidFill>
              <a:effectLst/>
              <a:latin typeface="Arial" pitchFamily="34" charset="0"/>
              <a:ea typeface="+mn-ea"/>
              <a:cs typeface="Arial" pitchFamily="34" charset="0"/>
            </a:rPr>
            <a:t>SERVIÇOS DISPONIBILIZADOS</a:t>
          </a:r>
          <a:endParaRPr lang="pt-BR" sz="1000" baseline="0">
            <a:latin typeface="Arial" pitchFamily="34" charset="0"/>
            <a:cs typeface="Arial" pitchFamily="34" charset="0"/>
          </a:endParaRPr>
        </a:p>
      </xdr:txBody>
    </xdr:sp>
    <xdr:clientData/>
  </xdr:twoCellAnchor>
  <xdr:twoCellAnchor editAs="oneCell">
    <xdr:from>
      <xdr:col>0</xdr:col>
      <xdr:colOff>47625</xdr:colOff>
      <xdr:row>14</xdr:row>
      <xdr:rowOff>9525</xdr:rowOff>
    </xdr:from>
    <xdr:to>
      <xdr:col>12</xdr:col>
      <xdr:colOff>581025</xdr:colOff>
      <xdr:row>27</xdr:row>
      <xdr:rowOff>38100</xdr:rowOff>
    </xdr:to>
    <xdr:pic>
      <xdr:nvPicPr>
        <xdr:cNvPr id="37570" name="Imagem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2324100"/>
          <a:ext cx="8620125" cy="2133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361949</xdr:colOff>
      <xdr:row>0</xdr:row>
      <xdr:rowOff>0</xdr:rowOff>
    </xdr:from>
    <xdr:to>
      <xdr:col>12</xdr:col>
      <xdr:colOff>139410</xdr:colOff>
      <xdr:row>1</xdr:row>
      <xdr:rowOff>47624</xdr:rowOff>
    </xdr:to>
    <xdr:sp macro="" textlink="">
      <xdr:nvSpPr>
        <xdr:cNvPr id="8" name="Seta para a direita 7">
          <a:hlinkClick xmlns:r="http://schemas.openxmlformats.org/officeDocument/2006/relationships" r:id="rId2"/>
        </xdr:cNvPr>
        <xdr:cNvSpPr/>
      </xdr:nvSpPr>
      <xdr:spPr>
        <a:xfrm rot="10800000">
          <a:off x="7839074" y="0"/>
          <a:ext cx="387061" cy="257174"/>
        </a:xfrm>
        <a:prstGeom prst="rightArrow">
          <a:avLst/>
        </a:prstGeom>
        <a:solidFill>
          <a:schemeClr val="accent5">
            <a:lumMod val="5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endParaRPr lang="pt-B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0</xdr:row>
      <xdr:rowOff>19050</xdr:rowOff>
    </xdr:from>
    <xdr:to>
      <xdr:col>3</xdr:col>
      <xdr:colOff>0</xdr:colOff>
      <xdr:row>1</xdr:row>
      <xdr:rowOff>219075</xdr:rowOff>
    </xdr:to>
    <xdr:pic>
      <xdr:nvPicPr>
        <xdr:cNvPr id="6959" name="Picture 17" descr="Logo Sicoob"/>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25" y="19050"/>
          <a:ext cx="145732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181841</xdr:colOff>
      <xdr:row>17</xdr:row>
      <xdr:rowOff>129886</xdr:rowOff>
    </xdr:from>
    <xdr:to>
      <xdr:col>1</xdr:col>
      <xdr:colOff>329044</xdr:colOff>
      <xdr:row>19</xdr:row>
      <xdr:rowOff>43295</xdr:rowOff>
    </xdr:to>
    <xdr:sp macro="" textlink="">
      <xdr:nvSpPr>
        <xdr:cNvPr id="4" name="Seta para a direita 3">
          <a:hlinkClick xmlns:r="http://schemas.openxmlformats.org/officeDocument/2006/relationships" r:id="rId2"/>
        </xdr:cNvPr>
        <xdr:cNvSpPr/>
      </xdr:nvSpPr>
      <xdr:spPr>
        <a:xfrm rot="10800000">
          <a:off x="181841" y="3065318"/>
          <a:ext cx="346362" cy="242454"/>
        </a:xfrm>
        <a:prstGeom prst="rightArrow">
          <a:avLst/>
        </a:prstGeom>
        <a:solidFill>
          <a:schemeClr val="accent5">
            <a:lumMod val="5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endParaRPr lang="pt-B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38100</xdr:colOff>
      <xdr:row>58</xdr:row>
      <xdr:rowOff>9525</xdr:rowOff>
    </xdr:from>
    <xdr:to>
      <xdr:col>12</xdr:col>
      <xdr:colOff>628650</xdr:colOff>
      <xdr:row>88</xdr:row>
      <xdr:rowOff>133350</xdr:rowOff>
    </xdr:to>
    <xdr:pic>
      <xdr:nvPicPr>
        <xdr:cNvPr id="63881" name="Imagem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9401175"/>
          <a:ext cx="9429750" cy="4981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9525</xdr:colOff>
      <xdr:row>0</xdr:row>
      <xdr:rowOff>9525</xdr:rowOff>
    </xdr:from>
    <xdr:to>
      <xdr:col>13</xdr:col>
      <xdr:colOff>19050</xdr:colOff>
      <xdr:row>58</xdr:row>
      <xdr:rowOff>0</xdr:rowOff>
    </xdr:to>
    <xdr:sp macro="" textlink="">
      <xdr:nvSpPr>
        <xdr:cNvPr id="6145" name="Text Box 1"/>
        <xdr:cNvSpPr txBox="1">
          <a:spLocks noChangeArrowheads="1"/>
        </xdr:cNvSpPr>
      </xdr:nvSpPr>
      <xdr:spPr bwMode="auto">
        <a:xfrm>
          <a:off x="9525" y="9525"/>
          <a:ext cx="9458325" cy="9382125"/>
        </a:xfrm>
        <a:prstGeom prst="rect">
          <a:avLst/>
        </a:prstGeom>
        <a:ln w="12700"/>
        <a:extLst/>
      </xdr:spPr>
      <xdr:style>
        <a:lnRef idx="2">
          <a:schemeClr val="dk1"/>
        </a:lnRef>
        <a:fillRef idx="1">
          <a:schemeClr val="lt1"/>
        </a:fillRef>
        <a:effectRef idx="0">
          <a:schemeClr val="dk1"/>
        </a:effectRef>
        <a:fontRef idx="minor">
          <a:schemeClr val="dk1"/>
        </a:fontRef>
      </xdr:style>
      <xdr:txBody>
        <a:bodyPr vertOverflow="clip" wrap="square" lIns="27432" tIns="22860" rIns="27432" bIns="0" anchor="t" upright="1"/>
        <a:lstStyle/>
        <a:p>
          <a:pPr algn="just" rtl="0">
            <a:defRPr sz="1000"/>
          </a:pPr>
          <a:r>
            <a:rPr lang="pt-BR" sz="1000" b="1" i="0" u="none" strike="noStrike" baseline="0">
              <a:solidFill>
                <a:srgbClr val="000000"/>
              </a:solidFill>
              <a:latin typeface="Arial"/>
              <a:cs typeface="Arial"/>
            </a:rPr>
            <a:t>ESPECIFICAÇÕES DO BOLETO SICOOB</a:t>
          </a:r>
          <a:endParaRPr lang="pt-BR" sz="1000" b="0" i="0" u="none" strike="noStrike" baseline="0">
            <a:solidFill>
              <a:srgbClr val="000000"/>
            </a:solidFill>
            <a:latin typeface="Calibri"/>
            <a:cs typeface="Calibri"/>
          </a:endParaRPr>
        </a:p>
        <a:p>
          <a:pPr algn="just" rtl="0">
            <a:defRPr sz="1000"/>
          </a:pPr>
          <a:endParaRPr lang="pt-BR" sz="1000" b="1"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1. INTRODUÇÃO</a:t>
          </a:r>
          <a:endParaRPr lang="pt-BR" sz="1000" b="0" i="0" u="none" strike="noStrike" baseline="0">
            <a:solidFill>
              <a:srgbClr val="000000"/>
            </a:solidFill>
            <a:latin typeface="Arial"/>
            <a:cs typeface="Arial"/>
          </a:endParaRPr>
        </a:p>
        <a:p>
          <a:pPr algn="l"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1.1. Este manual tem como objetivo prestar aos Associados/Cientes informações técnicas necessárias para a emissão e impressão de boletos em seu próprio ambiente, de acordo com as características gerais do boleto de cobrança, regulamentada pelo BACEN por meio da Carta-Circular 2.926, de 25/07/2000, observado que:</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1.1.1. não é recomendável a utilização de impressora matricial, devido ao elevado índice de rejeição na leitura do código de barras, ocasionado pela má qualidade de impressão;</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1.1.2. deve ser encaminhada ao Sicoob, obrigatoriamente, amostragem dos boletos impressos pelo Beneficiário da Cobrança para análise e aprovação (processo de homologação), antes de sua efetiva emissão. O Beneficiário assume total responsabilidade pelas consequências advindas da emissão de boletos, sem a prévia autorização do Sicoob.</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2. CARACTERÍSTICAS DO BOLETO</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2.1. Especificações gerais:</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2.1.1. Vias e dimensões:</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ficha de compensação: 95 a 108mm de altura psor 170 a 216mm de comprimento;</a:t>
          </a:r>
        </a:p>
        <a:p>
          <a:pPr algn="just" rtl="0">
            <a:defRPr sz="1000"/>
          </a:pPr>
          <a:r>
            <a:rPr lang="pt-BR" sz="1000" b="0" i="0" u="none" strike="noStrike" baseline="0">
              <a:solidFill>
                <a:srgbClr val="000000"/>
              </a:solidFill>
              <a:latin typeface="Arial"/>
              <a:cs typeface="Arial"/>
            </a:rPr>
            <a:t>b) recibo do pagador: a critério do beneficiário, condicionado à aprovação pelo Sicoob;</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2.1.2. Tipos de Formulários/Disposição das Vias:</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Formulário Contínuo Auto-Copiativo: a primeira via deve ser a Ficha de Compensação, ficando a critério da empresa a disposição das demais vias, ou;</a:t>
          </a:r>
        </a:p>
        <a:p>
          <a:pPr algn="just" rtl="0">
            <a:defRPr sz="1000"/>
          </a:pPr>
          <a:r>
            <a:rPr lang="pt-BR" sz="1000" b="0" i="0" u="none" strike="noStrike" baseline="0">
              <a:solidFill>
                <a:srgbClr val="000000"/>
              </a:solidFill>
              <a:latin typeface="Arial"/>
              <a:cs typeface="Arial"/>
            </a:rPr>
            <a:t>b) Papel A-4: a Ficha de Compensação deve ser impressa na parte inferior do papel. Recomenda-se a utilização de microserrilhas entre as vias (recebido do pagador e ficha de compensação) para evitar danos às informações quando do destacamento;</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2.1.3. Gramatura do papel e cor da impressão:</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gramatura ideal: 75 g/m2, mínima : 50 g/m2;</a:t>
          </a:r>
        </a:p>
        <a:p>
          <a:pPr algn="just" rtl="0">
            <a:defRPr sz="1000"/>
          </a:pPr>
          <a:r>
            <a:rPr lang="pt-BR" sz="1000" b="0" i="0" u="none" strike="noStrike" baseline="0">
              <a:solidFill>
                <a:srgbClr val="000000"/>
              </a:solidFill>
              <a:latin typeface="Arial"/>
              <a:cs typeface="Arial"/>
            </a:rPr>
            <a:t>b) fundo branco com impressão preta, não se permitindo campos hachurados;</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2.2. Especificações das vias do Boleto de Cobrança:</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2.2.1. Ficha de Compensação:</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parte superior esquerda – Logotipo do Sicoob e, à direita do nome do Sicoob, número-código/DV de compensação do Sicoob, em negrito (o número/DV do Sicoob é 756-0 e deve ser impresso com caracter de 5mm e traços ou fios de 1,2mm);</a:t>
          </a:r>
        </a:p>
        <a:p>
          <a:pPr algn="just" rtl="0">
            <a:defRPr sz="1000"/>
          </a:pPr>
          <a:r>
            <a:rPr lang="pt-BR" sz="1000" b="0" i="0" u="none" strike="noStrike" baseline="0">
              <a:solidFill>
                <a:srgbClr val="000000"/>
              </a:solidFill>
              <a:latin typeface="Arial"/>
              <a:cs typeface="Arial"/>
            </a:rPr>
            <a:t>b) parte superior direita – Deve haver representação numérica do conteúdo do Código de Barras, conforme especificação contida no item 4;</a:t>
          </a:r>
        </a:p>
        <a:p>
          <a:pPr algn="just" rtl="0">
            <a:defRPr sz="1000"/>
          </a:pPr>
          <a:r>
            <a:rPr lang="pt-BR" sz="1000" b="0" i="0" u="none" strike="noStrike" baseline="0">
              <a:solidFill>
                <a:srgbClr val="000000"/>
              </a:solidFill>
              <a:latin typeface="Arial"/>
              <a:cs typeface="Arial"/>
            </a:rPr>
            <a:t>c) quadro de impressão – Deve apresentar grade/denominação dos campos conforme anexo 1;</a:t>
          </a:r>
        </a:p>
        <a:p>
          <a:pPr algn="just" rtl="0">
            <a:defRPr sz="1000"/>
          </a:pPr>
          <a:r>
            <a:rPr lang="pt-BR" sz="1000" b="0" i="0" u="none" strike="noStrike" baseline="0">
              <a:solidFill>
                <a:srgbClr val="000000"/>
              </a:solidFill>
              <a:latin typeface="Arial"/>
              <a:cs typeface="Arial"/>
            </a:rPr>
            <a:t>d) tamanho de cada campo (número de posições) – Pode variar, desde que obedecidas a mesma disposição do modelo e as dimensões mínimas do formulário;</a:t>
          </a:r>
        </a:p>
        <a:p>
          <a:pPr algn="just" rtl="0">
            <a:defRPr sz="1000"/>
          </a:pPr>
          <a:r>
            <a:rPr lang="pt-BR" sz="1000" b="0" i="0" u="none" strike="noStrike" baseline="0">
              <a:solidFill>
                <a:srgbClr val="000000"/>
              </a:solidFill>
              <a:latin typeface="Arial"/>
              <a:cs typeface="Arial"/>
            </a:rPr>
            <a:t>e) campos não utilizados podem ficar em branco;</a:t>
          </a:r>
        </a:p>
        <a:p>
          <a:pPr algn="just" rtl="0">
            <a:defRPr sz="1000"/>
          </a:pPr>
          <a:r>
            <a:rPr lang="pt-BR" sz="1000" b="0" i="0" u="none" strike="noStrike" baseline="0">
              <a:solidFill>
                <a:srgbClr val="000000"/>
              </a:solidFill>
              <a:latin typeface="Arial"/>
              <a:cs typeface="Arial"/>
            </a:rPr>
            <a:t>f) parte inferior esquerda do papel, abaixo do quadro de impressão – Indicação obrigatória do código de barras, conforme especificação contida no anexo 1;</a:t>
          </a:r>
        </a:p>
        <a:p>
          <a:pPr algn="just" rtl="0">
            <a:defRPr sz="1000"/>
          </a:pPr>
          <a:r>
            <a:rPr lang="pt-BR" sz="1000" b="0" i="0" u="none" strike="noStrike" baseline="0">
              <a:solidFill>
                <a:srgbClr val="000000"/>
              </a:solidFill>
              <a:latin typeface="Arial"/>
              <a:cs typeface="Arial"/>
            </a:rPr>
            <a:t>g) parte inferior direita do papel – Deve conter a expresssão “Autenticação Mecânica – Ficha de Compensação”, com dimensão máxima de 2mm e traços com fios de 0.3mm, deixando espaço para a autenticação mecânica;</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2.2.2. Recibo do Pagador: Na parte superior acima do quadro de impressão devem ser impressas, no mínimo, com a identificação das seguintes informações:</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nome do beneficiário;</a:t>
          </a:r>
        </a:p>
        <a:p>
          <a:pPr algn="just" rtl="0">
            <a:defRPr sz="1000"/>
          </a:pPr>
          <a:r>
            <a:rPr lang="pt-BR" sz="1000" b="0" i="0" u="none" strike="noStrike" baseline="0">
              <a:solidFill>
                <a:srgbClr val="000000"/>
              </a:solidFill>
              <a:latin typeface="Arial"/>
              <a:cs typeface="Arial"/>
            </a:rPr>
            <a:t>b) nome do pagador;</a:t>
          </a:r>
        </a:p>
        <a:p>
          <a:pPr algn="just" rtl="0">
            <a:defRPr sz="1000"/>
          </a:pPr>
          <a:r>
            <a:rPr lang="pt-BR" sz="1000" b="0" i="0" u="none" strike="noStrike" baseline="0">
              <a:solidFill>
                <a:srgbClr val="000000"/>
              </a:solidFill>
              <a:latin typeface="Arial"/>
              <a:cs typeface="Arial"/>
            </a:rPr>
            <a:t>c) nosso-número</a:t>
          </a:r>
        </a:p>
        <a:p>
          <a:pPr algn="just" rtl="0">
            <a:defRPr sz="1000"/>
          </a:pPr>
          <a:r>
            <a:rPr lang="pt-BR" sz="1000" b="0" i="0" u="none" strike="noStrike" baseline="0">
              <a:solidFill>
                <a:srgbClr val="000000"/>
              </a:solidFill>
              <a:latin typeface="Arial"/>
              <a:cs typeface="Arial"/>
            </a:rPr>
            <a:t>d) número do título;</a:t>
          </a:r>
        </a:p>
        <a:p>
          <a:pPr algn="just" rtl="0">
            <a:defRPr sz="1000"/>
          </a:pPr>
          <a:r>
            <a:rPr lang="pt-BR" sz="1000" b="0" i="0" u="none" strike="noStrike" baseline="0">
              <a:solidFill>
                <a:srgbClr val="000000"/>
              </a:solidFill>
              <a:latin typeface="Arial"/>
              <a:cs typeface="Arial"/>
            </a:rPr>
            <a:t>e) vencimento;</a:t>
          </a:r>
        </a:p>
        <a:p>
          <a:pPr algn="just" rtl="0">
            <a:defRPr sz="1000"/>
          </a:pPr>
          <a:r>
            <a:rPr lang="pt-BR" sz="1000" b="0" i="0" u="none" strike="noStrike" baseline="0">
              <a:solidFill>
                <a:srgbClr val="000000"/>
              </a:solidFill>
              <a:latin typeface="Arial"/>
              <a:cs typeface="Arial"/>
            </a:rPr>
            <a:t>f) valor</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Obs: É recomendável que também no recibo do sacado conste a linha digitável e o código de barras, de forma a facilitar eventual consulta pelo pagador.</a:t>
          </a:r>
        </a:p>
      </xdr:txBody>
    </xdr:sp>
    <xdr:clientData/>
  </xdr:twoCellAnchor>
  <xdr:twoCellAnchor>
    <xdr:from>
      <xdr:col>0</xdr:col>
      <xdr:colOff>0</xdr:colOff>
      <xdr:row>88</xdr:row>
      <xdr:rowOff>142875</xdr:rowOff>
    </xdr:from>
    <xdr:to>
      <xdr:col>13</xdr:col>
      <xdr:colOff>0</xdr:colOff>
      <xdr:row>104</xdr:row>
      <xdr:rowOff>0</xdr:rowOff>
    </xdr:to>
    <xdr:sp macro="" textlink="">
      <xdr:nvSpPr>
        <xdr:cNvPr id="6163" name="Text Box 19"/>
        <xdr:cNvSpPr txBox="1">
          <a:spLocks noChangeArrowheads="1"/>
        </xdr:cNvSpPr>
      </xdr:nvSpPr>
      <xdr:spPr bwMode="auto">
        <a:xfrm>
          <a:off x="0" y="14392275"/>
          <a:ext cx="9486900" cy="2447925"/>
        </a:xfrm>
        <a:prstGeom prst="rect">
          <a:avLst/>
        </a:prstGeom>
        <a:ln w="9525"/>
        <a:extLst/>
      </xdr:spPr>
      <xdr:style>
        <a:lnRef idx="2">
          <a:schemeClr val="dk1"/>
        </a:lnRef>
        <a:fillRef idx="1">
          <a:schemeClr val="lt1"/>
        </a:fillRef>
        <a:effectRef idx="0">
          <a:schemeClr val="dk1"/>
        </a:effectRef>
        <a:fontRef idx="minor">
          <a:schemeClr val="dk1"/>
        </a:fontRef>
      </xdr:style>
      <xdr:txBody>
        <a:bodyPr vertOverflow="clip" wrap="square" lIns="27432" tIns="22860" rIns="27432" bIns="0" anchor="t" upright="1"/>
        <a:lstStyle/>
        <a:p>
          <a:pPr algn="just" rtl="0">
            <a:defRPr sz="1000"/>
          </a:pPr>
          <a:r>
            <a:rPr lang="pt-BR" sz="1000" b="1" i="0" u="none" strike="noStrike" baseline="0">
              <a:solidFill>
                <a:srgbClr val="000000"/>
              </a:solidFill>
              <a:latin typeface="Arial"/>
              <a:cs typeface="Arial"/>
            </a:rPr>
            <a:t>3. DESCRIÇÃO DOS CAMPOS DO BOLETO DE COBRANÇA:</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FF0000"/>
              </a:solidFill>
              <a:latin typeface="Arial"/>
              <a:cs typeface="Arial"/>
            </a:rPr>
            <a:t>(A)</a:t>
          </a:r>
        </a:p>
        <a:p>
          <a:pPr algn="just" rtl="0">
            <a:defRPr sz="1000"/>
          </a:pPr>
          <a:endParaRPr lang="pt-BR" sz="1000" b="0" i="0" u="none" strike="noStrike" baseline="0">
            <a:solidFill>
              <a:srgbClr val="FF0000"/>
            </a:solidFill>
            <a:latin typeface="Arial"/>
            <a:cs typeface="Arial"/>
          </a:endParaRPr>
        </a:p>
        <a:p>
          <a:pPr algn="just" rtl="0">
            <a:defRPr sz="1000"/>
          </a:pPr>
          <a:r>
            <a:rPr lang="pt-BR" sz="1000" b="0" i="1" u="sng" strike="noStrike" baseline="0">
              <a:solidFill>
                <a:srgbClr val="000000"/>
              </a:solidFill>
              <a:latin typeface="Arial"/>
              <a:cs typeface="Arial"/>
            </a:rPr>
            <a:t>3.1. Logotipo Sicoob:</a:t>
          </a:r>
          <a:r>
            <a:rPr lang="pt-BR" sz="1000" b="0" i="0" u="none" strike="noStrike" baseline="0">
              <a:solidFill>
                <a:srgbClr val="000000"/>
              </a:solidFill>
              <a:latin typeface="Arial"/>
              <a:cs typeface="Arial"/>
            </a:rPr>
            <a:t> O boleto deverá ser impresso sempre com o logotipo do Sicoob.</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1" u="sng" strike="noStrike" baseline="0">
              <a:solidFill>
                <a:srgbClr val="000000"/>
              </a:solidFill>
              <a:latin typeface="Arial"/>
              <a:cs typeface="Arial"/>
            </a:rPr>
            <a:t>3.2. Código do banco destinatário:</a:t>
          </a:r>
          <a:r>
            <a:rPr lang="pt-BR" sz="1000" b="0" i="1" u="none" strike="noStrike" baseline="0">
              <a:solidFill>
                <a:srgbClr val="000000"/>
              </a:solidFill>
              <a:latin typeface="Arial"/>
              <a:cs typeface="Arial"/>
            </a:rPr>
            <a:t> </a:t>
          </a:r>
          <a:r>
            <a:rPr lang="pt-BR" sz="1000" b="0" i="0" u="none" strike="noStrike" baseline="0">
              <a:solidFill>
                <a:srgbClr val="000000"/>
              </a:solidFill>
              <a:latin typeface="Arial"/>
              <a:cs typeface="Arial"/>
            </a:rPr>
            <a:t>Deve ser impresso na margem superior esquerda do bloqueto (756-0), à direita do logotipo do Sicoob, com o seu respectivo DV (Dígito Verificador).</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1" u="sng" strike="noStrike" baseline="0">
              <a:solidFill>
                <a:srgbClr val="000000"/>
              </a:solidFill>
              <a:latin typeface="Arial"/>
              <a:cs typeface="Arial"/>
            </a:rPr>
            <a:t>3.3. Linha digitável - representação numérica do código de barras:</a:t>
          </a:r>
          <a:r>
            <a:rPr lang="pt-BR" sz="1000" b="0" i="0" u="none" strike="noStrike" baseline="0">
              <a:solidFill>
                <a:srgbClr val="000000"/>
              </a:solidFill>
              <a:latin typeface="Arial"/>
              <a:cs typeface="Arial"/>
            </a:rPr>
            <a:t> Deve conter a representação numérica do código de barras do bloqueto de cobrança, conforme instruções que seguem:</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forma de composição da Linha Digitável nos bloquetos de Cobrança segue as normas estabelecidas pela Carta-Circular Bacen 2926, de 25/07/2000. Portanto, é o padrão adotado para qualquer modalidade de cobrança cadastrado com o Sicoob.</a:t>
          </a:r>
        </a:p>
      </xdr:txBody>
    </xdr:sp>
    <xdr:clientData/>
  </xdr:twoCellAnchor>
  <xdr:twoCellAnchor>
    <xdr:from>
      <xdr:col>12</xdr:col>
      <xdr:colOff>38100</xdr:colOff>
      <xdr:row>0</xdr:row>
      <xdr:rowOff>76199</xdr:rowOff>
    </xdr:from>
    <xdr:to>
      <xdr:col>12</xdr:col>
      <xdr:colOff>619125</xdr:colOff>
      <xdr:row>1</xdr:row>
      <xdr:rowOff>152399</xdr:rowOff>
    </xdr:to>
    <xdr:sp macro="" textlink="">
      <xdr:nvSpPr>
        <xdr:cNvPr id="2" name="CaixaDeTexto 1"/>
        <xdr:cNvSpPr txBox="1"/>
      </xdr:nvSpPr>
      <xdr:spPr>
        <a:xfrm>
          <a:off x="8877300" y="76199"/>
          <a:ext cx="58102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1000" b="1">
              <a:latin typeface="Arial" pitchFamily="34" charset="0"/>
              <a:cs typeface="Arial" pitchFamily="34" charset="0"/>
            </a:rPr>
            <a:t>Voltar</a:t>
          </a:r>
        </a:p>
      </xdr:txBody>
    </xdr:sp>
    <xdr:clientData/>
  </xdr:twoCellAnchor>
  <xdr:twoCellAnchor>
    <xdr:from>
      <xdr:col>11</xdr:col>
      <xdr:colOff>361950</xdr:colOff>
      <xdr:row>0</xdr:row>
      <xdr:rowOff>66673</xdr:rowOff>
    </xdr:from>
    <xdr:to>
      <xdr:col>12</xdr:col>
      <xdr:colOff>91786</xdr:colOff>
      <xdr:row>1</xdr:row>
      <xdr:rowOff>142873</xdr:rowOff>
    </xdr:to>
    <xdr:sp macro="" textlink="">
      <xdr:nvSpPr>
        <xdr:cNvPr id="11" name="Seta para a direita 10">
          <a:hlinkClick xmlns:r="http://schemas.openxmlformats.org/officeDocument/2006/relationships" r:id="rId2"/>
        </xdr:cNvPr>
        <xdr:cNvSpPr/>
      </xdr:nvSpPr>
      <xdr:spPr>
        <a:xfrm rot="10800000">
          <a:off x="8591550" y="66673"/>
          <a:ext cx="339436" cy="238125"/>
        </a:xfrm>
        <a:prstGeom prst="rightArrow">
          <a:avLst/>
        </a:prstGeom>
        <a:solidFill>
          <a:schemeClr val="accent5">
            <a:lumMod val="5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endParaRPr lang="pt-B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168093</xdr:colOff>
      <xdr:row>0</xdr:row>
      <xdr:rowOff>11205</xdr:rowOff>
    </xdr:from>
    <xdr:to>
      <xdr:col>6</xdr:col>
      <xdr:colOff>583729</xdr:colOff>
      <xdr:row>2</xdr:row>
      <xdr:rowOff>9164</xdr:rowOff>
    </xdr:to>
    <xdr:sp macro="" textlink="">
      <xdr:nvSpPr>
        <xdr:cNvPr id="3" name="Seta para a direita 2">
          <a:hlinkClick xmlns:r="http://schemas.openxmlformats.org/officeDocument/2006/relationships" r:id="rId1"/>
        </xdr:cNvPr>
        <xdr:cNvSpPr/>
      </xdr:nvSpPr>
      <xdr:spPr>
        <a:xfrm rot="10800000">
          <a:off x="12662652" y="11205"/>
          <a:ext cx="415636" cy="311724"/>
        </a:xfrm>
        <a:prstGeom prst="rightArrow">
          <a:avLst/>
        </a:prstGeom>
        <a:solidFill>
          <a:schemeClr val="accent5">
            <a:lumMod val="5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endParaRPr lang="pt-B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168087</xdr:colOff>
      <xdr:row>0</xdr:row>
      <xdr:rowOff>11206</xdr:rowOff>
    </xdr:from>
    <xdr:to>
      <xdr:col>6</xdr:col>
      <xdr:colOff>583723</xdr:colOff>
      <xdr:row>2</xdr:row>
      <xdr:rowOff>9165</xdr:rowOff>
    </xdr:to>
    <xdr:sp macro="" textlink="">
      <xdr:nvSpPr>
        <xdr:cNvPr id="3" name="Seta para a direita 2">
          <a:hlinkClick xmlns:r="http://schemas.openxmlformats.org/officeDocument/2006/relationships" r:id="rId1"/>
        </xdr:cNvPr>
        <xdr:cNvSpPr/>
      </xdr:nvSpPr>
      <xdr:spPr>
        <a:xfrm rot="10800000">
          <a:off x="12662646" y="11206"/>
          <a:ext cx="415636" cy="311724"/>
        </a:xfrm>
        <a:prstGeom prst="rightArrow">
          <a:avLst/>
        </a:prstGeom>
        <a:solidFill>
          <a:schemeClr val="accent5">
            <a:lumMod val="5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endParaRPr lang="pt-B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145675</xdr:colOff>
      <xdr:row>0</xdr:row>
      <xdr:rowOff>11205</xdr:rowOff>
    </xdr:from>
    <xdr:to>
      <xdr:col>11</xdr:col>
      <xdr:colOff>561311</xdr:colOff>
      <xdr:row>2</xdr:row>
      <xdr:rowOff>9164</xdr:rowOff>
    </xdr:to>
    <xdr:sp macro="" textlink="">
      <xdr:nvSpPr>
        <xdr:cNvPr id="3" name="Seta para a direita 2">
          <a:hlinkClick xmlns:r="http://schemas.openxmlformats.org/officeDocument/2006/relationships" r:id="rId1"/>
        </xdr:cNvPr>
        <xdr:cNvSpPr/>
      </xdr:nvSpPr>
      <xdr:spPr>
        <a:xfrm rot="10800000">
          <a:off x="12662646" y="11205"/>
          <a:ext cx="415636" cy="311724"/>
        </a:xfrm>
        <a:prstGeom prst="rightArrow">
          <a:avLst/>
        </a:prstGeom>
        <a:solidFill>
          <a:schemeClr val="accent5">
            <a:lumMod val="5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endParaRPr lang="pt-B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156881</xdr:colOff>
      <xdr:row>0</xdr:row>
      <xdr:rowOff>11206</xdr:rowOff>
    </xdr:from>
    <xdr:to>
      <xdr:col>11</xdr:col>
      <xdr:colOff>572517</xdr:colOff>
      <xdr:row>2</xdr:row>
      <xdr:rowOff>9165</xdr:rowOff>
    </xdr:to>
    <xdr:sp macro="" textlink="">
      <xdr:nvSpPr>
        <xdr:cNvPr id="3" name="Seta para a direita 2">
          <a:hlinkClick xmlns:r="http://schemas.openxmlformats.org/officeDocument/2006/relationships" r:id="rId1"/>
        </xdr:cNvPr>
        <xdr:cNvSpPr/>
      </xdr:nvSpPr>
      <xdr:spPr>
        <a:xfrm rot="10800000">
          <a:off x="12673852" y="11206"/>
          <a:ext cx="415636" cy="311724"/>
        </a:xfrm>
        <a:prstGeom prst="rightArrow">
          <a:avLst/>
        </a:prstGeom>
        <a:solidFill>
          <a:schemeClr val="accent5">
            <a:lumMod val="5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endParaRPr lang="pt-B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16</xdr:col>
      <xdr:colOff>156880</xdr:colOff>
      <xdr:row>0</xdr:row>
      <xdr:rowOff>78440</xdr:rowOff>
    </xdr:from>
    <xdr:to>
      <xdr:col>18</xdr:col>
      <xdr:colOff>169104</xdr:colOff>
      <xdr:row>2</xdr:row>
      <xdr:rowOff>76399</xdr:rowOff>
    </xdr:to>
    <xdr:sp macro="" textlink="">
      <xdr:nvSpPr>
        <xdr:cNvPr id="4" name="Seta para a direita 3">
          <a:hlinkClick xmlns:r="http://schemas.openxmlformats.org/officeDocument/2006/relationships" r:id="rId1"/>
        </xdr:cNvPr>
        <xdr:cNvSpPr/>
      </xdr:nvSpPr>
      <xdr:spPr>
        <a:xfrm rot="10800000">
          <a:off x="7451909" y="78440"/>
          <a:ext cx="415636" cy="311724"/>
        </a:xfrm>
        <a:prstGeom prst="rightArrow">
          <a:avLst/>
        </a:prstGeom>
        <a:solidFill>
          <a:schemeClr val="accent5">
            <a:lumMod val="5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endParaRPr lang="pt-B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9524</xdr:colOff>
      <xdr:row>0</xdr:row>
      <xdr:rowOff>44823</xdr:rowOff>
    </xdr:from>
    <xdr:to>
      <xdr:col>16</xdr:col>
      <xdr:colOff>571499</xdr:colOff>
      <xdr:row>209</xdr:row>
      <xdr:rowOff>123824</xdr:rowOff>
    </xdr:to>
    <xdr:sp macro="" textlink="">
      <xdr:nvSpPr>
        <xdr:cNvPr id="7169" name="Text Box 1"/>
        <xdr:cNvSpPr txBox="1">
          <a:spLocks noChangeArrowheads="1"/>
        </xdr:cNvSpPr>
      </xdr:nvSpPr>
      <xdr:spPr bwMode="auto">
        <a:xfrm>
          <a:off x="9524" y="44823"/>
          <a:ext cx="10243857" cy="32867413"/>
        </a:xfrm>
        <a:prstGeom prst="rect">
          <a:avLst/>
        </a:prstGeom>
        <a:solidFill>
          <a:srgbClr val="FFFFFF"/>
        </a:solidFill>
        <a:ln>
          <a:noFill/>
        </a:ln>
        <a:extLst/>
      </xdr:spPr>
      <xdr:txBody>
        <a:bodyPr vertOverflow="clip" wrap="square" lIns="27432" tIns="22860" rIns="27432" bIns="0" anchor="t" upright="1"/>
        <a:lstStyle/>
        <a:p>
          <a:pPr algn="just" rtl="0">
            <a:defRPr sz="1000"/>
          </a:pPr>
          <a:r>
            <a:rPr lang="pt-BR" sz="1000" b="1" i="0" u="none" strike="noStrike" baseline="0">
              <a:solidFill>
                <a:srgbClr val="000000"/>
              </a:solidFill>
              <a:latin typeface="Arial"/>
              <a:cs typeface="Arial"/>
            </a:rPr>
            <a:t>FUNÇÕES EM DELPHI</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seguir estão listadas algumas funções escritas em Delphi para validação de algumas estruturas descritas anteriormente. Os algoritmos relacionados abaixo não são de utilização obrigatório, apenas estão exemplificando as validações comentadas acima.</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Conversão de Data para Fator de Vencimento</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fatorvcto(data:tdate):integer;</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result := DaysBetween(data,strtodate('03/07/2000'))+1000;</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Conversão de Fator de Vencimento para Data</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datavcto(fator: integer): TDate;</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if fator = 0 then</a:t>
          </a:r>
        </a:p>
        <a:p>
          <a:pPr algn="just" rtl="0">
            <a:defRPr sz="1000"/>
          </a:pPr>
          <a:r>
            <a:rPr lang="pt-BR" sz="1000" b="0" i="0" u="none" strike="noStrike" baseline="0">
              <a:solidFill>
                <a:srgbClr val="000000"/>
              </a:solidFill>
              <a:latin typeface="Arial"/>
              <a:cs typeface="Arial"/>
            </a:rPr>
            <a:t>    result := 0</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result := strtodate('03/07/2000') + (fator – 1000);</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Colocar o Dígito no Código de Barras</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DigitoCodigoBarra(codigobarra: string): string;</a:t>
          </a:r>
        </a:p>
        <a:p>
          <a:pPr algn="just" rtl="0">
            <a:defRPr sz="1000"/>
          </a:pPr>
          <a:r>
            <a:rPr lang="pt-BR" sz="1000" b="0" i="0" u="none" strike="noStrike" baseline="0">
              <a:solidFill>
                <a:srgbClr val="000000"/>
              </a:solidFill>
              <a:latin typeface="Arial"/>
              <a:cs typeface="Arial"/>
            </a:rPr>
            <a:t>const</a:t>
          </a:r>
        </a:p>
        <a:p>
          <a:pPr algn="just" rtl="0">
            <a:defRPr sz="1000"/>
          </a:pPr>
          <a:r>
            <a:rPr lang="pt-BR" sz="1000" b="0" i="0" u="none" strike="noStrike" baseline="0">
              <a:solidFill>
                <a:srgbClr val="000000"/>
              </a:solidFill>
              <a:latin typeface="Arial"/>
              <a:cs typeface="Arial"/>
            </a:rPr>
            <a:t>  indice = '43290876543298765432987654329876543298765432';</a:t>
          </a:r>
        </a:p>
        <a:p>
          <a:pPr algn="just" rtl="0">
            <a:defRPr sz="1000"/>
          </a:pPr>
          <a:r>
            <a:rPr lang="pt-BR" sz="1000" b="0" i="0" u="none" strike="noStrike" baseline="0">
              <a:solidFill>
                <a:srgbClr val="000000"/>
              </a:solidFill>
              <a:latin typeface="Arial"/>
              <a:cs typeface="Arial"/>
            </a:rPr>
            <a:t>var</a:t>
          </a:r>
        </a:p>
        <a:p>
          <a:pPr algn="just" rtl="0">
            <a:defRPr sz="1000"/>
          </a:pPr>
          <a:r>
            <a:rPr lang="pt-BR" sz="1000" b="0" i="0" u="none" strike="noStrike" baseline="0">
              <a:solidFill>
                <a:srgbClr val="000000"/>
              </a:solidFill>
              <a:latin typeface="Arial"/>
              <a:cs typeface="Arial"/>
            </a:rPr>
            <a:t>  soma, contador, digito: integer;</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 to 44 do</a:t>
          </a:r>
        </a:p>
        <a:p>
          <a:pPr algn="just" rtl="0">
            <a:defRPr sz="1000"/>
          </a:pPr>
          <a:r>
            <a:rPr lang="pt-BR" sz="1000" b="0" i="0" u="none" strike="noStrike" baseline="0">
              <a:solidFill>
                <a:srgbClr val="000000"/>
              </a:solidFill>
              <a:latin typeface="Arial"/>
              <a:cs typeface="Arial"/>
            </a:rPr>
            <a:t>    if contador &lt;&gt; 5 then</a:t>
          </a:r>
        </a:p>
        <a:p>
          <a:pPr algn="just" rtl="0">
            <a:defRPr sz="1000"/>
          </a:pPr>
          <a:r>
            <a:rPr lang="pt-BR" sz="1000" b="0" i="0" u="none" strike="noStrike" baseline="0">
              <a:solidFill>
                <a:srgbClr val="000000"/>
              </a:solidFill>
              <a:latin typeface="Arial"/>
              <a:cs typeface="Arial"/>
            </a:rPr>
            <a:t>      soma := soma + (strtoint(codigobarra[contador]) * strtoint(indice[contador]));</a:t>
          </a:r>
        </a:p>
        <a:p>
          <a:pPr algn="just" rtl="0">
            <a:defRPr sz="1000"/>
          </a:pPr>
          <a:r>
            <a:rPr lang="pt-BR" sz="1000" b="0" i="0" u="none" strike="noStrike" baseline="0">
              <a:solidFill>
                <a:srgbClr val="000000"/>
              </a:solidFill>
              <a:latin typeface="Arial"/>
              <a:cs typeface="Arial"/>
            </a:rPr>
            <a:t>  digito := 11 – (soma mod 11);</a:t>
          </a:r>
        </a:p>
        <a:p>
          <a:pPr algn="just" rtl="0">
            <a:defRPr sz="1000"/>
          </a:pPr>
          <a:r>
            <a:rPr lang="pt-BR" sz="1000" b="0" i="0" u="none" strike="noStrike" baseline="0">
              <a:solidFill>
                <a:srgbClr val="000000"/>
              </a:solidFill>
              <a:latin typeface="Arial"/>
              <a:cs typeface="Arial"/>
            </a:rPr>
            <a:t>  if (digito &lt;= 1) or (digito &gt; 9) then digito := 1;</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//Colocar o digito no codigo barra</a:t>
          </a:r>
        </a:p>
        <a:p>
          <a:pPr algn="just" rtl="0">
            <a:defRPr sz="1000"/>
          </a:pPr>
          <a:r>
            <a:rPr lang="pt-BR" sz="1000" b="0" i="0" u="none" strike="noStrike" baseline="0">
              <a:solidFill>
                <a:srgbClr val="000000"/>
              </a:solidFill>
              <a:latin typeface="Arial"/>
              <a:cs typeface="Arial"/>
            </a:rPr>
            <a:t>  codigobarra[5] := inttostr(digito)[1];</a:t>
          </a:r>
        </a:p>
        <a:p>
          <a:pPr algn="just" rtl="0">
            <a:defRPr sz="1000"/>
          </a:pPr>
          <a:r>
            <a:rPr lang="pt-BR" sz="1000" b="0" i="0" u="none" strike="noStrike" baseline="0">
              <a:solidFill>
                <a:srgbClr val="000000"/>
              </a:solidFill>
              <a:latin typeface="Arial"/>
              <a:cs typeface="Arial"/>
            </a:rPr>
            <a:t>  result := codigobarra;</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Validação do Código de Barras</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ValidaCodigoBarra(codigobarra: string): boolean;</a:t>
          </a:r>
        </a:p>
        <a:p>
          <a:pPr algn="just" rtl="0">
            <a:defRPr sz="1000"/>
          </a:pPr>
          <a:r>
            <a:rPr lang="pt-BR" sz="1000" b="0" i="0" u="none" strike="noStrike" baseline="0">
              <a:solidFill>
                <a:srgbClr val="000000"/>
              </a:solidFill>
              <a:latin typeface="Arial"/>
              <a:cs typeface="Arial"/>
            </a:rPr>
            <a:t>const</a:t>
          </a:r>
        </a:p>
        <a:p>
          <a:pPr algn="just" rtl="0">
            <a:defRPr sz="1000"/>
          </a:pPr>
          <a:r>
            <a:rPr lang="pt-BR" sz="1000" b="0" i="0" u="none" strike="noStrike" baseline="0">
              <a:solidFill>
                <a:srgbClr val="000000"/>
              </a:solidFill>
              <a:latin typeface="Arial"/>
              <a:cs typeface="Arial"/>
            </a:rPr>
            <a:t>  indice = '43290876543298765432987654329876543298765432';</a:t>
          </a:r>
        </a:p>
        <a:p>
          <a:pPr algn="just" rtl="0">
            <a:defRPr sz="1000"/>
          </a:pPr>
          <a:r>
            <a:rPr lang="pt-BR" sz="1000" b="0" i="0" u="none" strike="noStrike" baseline="0">
              <a:solidFill>
                <a:srgbClr val="000000"/>
              </a:solidFill>
              <a:latin typeface="Arial"/>
              <a:cs typeface="Arial"/>
            </a:rPr>
            <a:t>var</a:t>
          </a:r>
        </a:p>
        <a:p>
          <a:pPr algn="just" rtl="0">
            <a:defRPr sz="1000"/>
          </a:pPr>
          <a:r>
            <a:rPr lang="pt-BR" sz="1000" b="0" i="0" u="none" strike="noStrike" baseline="0">
              <a:solidFill>
                <a:srgbClr val="000000"/>
              </a:solidFill>
              <a:latin typeface="Arial"/>
              <a:cs typeface="Arial"/>
            </a:rPr>
            <a:t>  soma, contador, digito: integer;</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 to 44 do</a:t>
          </a:r>
        </a:p>
        <a:p>
          <a:pPr algn="just" rtl="0">
            <a:defRPr sz="1000"/>
          </a:pPr>
          <a:r>
            <a:rPr lang="pt-BR" sz="1000" b="0" i="0" u="none" strike="noStrike" baseline="0">
              <a:solidFill>
                <a:srgbClr val="000000"/>
              </a:solidFill>
              <a:latin typeface="Arial"/>
              <a:cs typeface="Arial"/>
            </a:rPr>
            <a:t>    if contador &lt;&gt; 5 then</a:t>
          </a:r>
        </a:p>
        <a:p>
          <a:pPr algn="just" rtl="0">
            <a:defRPr sz="1000"/>
          </a:pPr>
          <a:r>
            <a:rPr lang="pt-BR" sz="1000" b="0" i="0" u="none" strike="noStrike" baseline="0">
              <a:solidFill>
                <a:srgbClr val="000000"/>
              </a:solidFill>
              <a:latin typeface="Arial"/>
              <a:cs typeface="Arial"/>
            </a:rPr>
            <a:t>      soma := soma + (strtoint(codigobarra[contador]) * strtoint(indice[contador]));</a:t>
          </a:r>
        </a:p>
        <a:p>
          <a:pPr algn="just" rtl="0">
            <a:defRPr sz="1000"/>
          </a:pPr>
          <a:r>
            <a:rPr lang="pt-BR" sz="1000" b="0" i="0" u="none" strike="noStrike" baseline="0">
              <a:solidFill>
                <a:srgbClr val="000000"/>
              </a:solidFill>
              <a:latin typeface="Arial"/>
              <a:cs typeface="Arial"/>
            </a:rPr>
            <a:t>  digito := 11 – (soma mod 11);</a:t>
          </a:r>
        </a:p>
        <a:p>
          <a:pPr algn="just" rtl="0">
            <a:defRPr sz="1000"/>
          </a:pPr>
          <a:r>
            <a:rPr lang="pt-BR" sz="1000" b="0" i="0" u="none" strike="noStrike" baseline="0">
              <a:solidFill>
                <a:srgbClr val="000000"/>
              </a:solidFill>
              <a:latin typeface="Arial"/>
              <a:cs typeface="Arial"/>
            </a:rPr>
            <a:t>  if (digito &lt;= 1) or (digito &gt; 9) then digito := 1;</a:t>
          </a:r>
        </a:p>
        <a:p>
          <a:pPr algn="just" rtl="0">
            <a:defRPr sz="1000"/>
          </a:pPr>
          <a:r>
            <a:rPr lang="pt-BR" sz="1000" b="0" i="0" u="none" strike="noStrike" baseline="0">
              <a:solidFill>
                <a:srgbClr val="000000"/>
              </a:solidFill>
              <a:latin typeface="Arial"/>
              <a:cs typeface="Arial"/>
            </a:rPr>
            <a:t>  result := (strtoint(codigobarra[5]) = digito);</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Colocar Dígito na Linha Digitável</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DigitoLinhaDigitavel(linhadigitavel: string): string;</a:t>
          </a:r>
        </a:p>
        <a:p>
          <a:pPr algn="just" rtl="0">
            <a:defRPr sz="1000"/>
          </a:pPr>
          <a:r>
            <a:rPr lang="pt-BR" sz="1000" b="0" i="0" u="none" strike="noStrike" baseline="0">
              <a:solidFill>
                <a:srgbClr val="000000"/>
              </a:solidFill>
              <a:latin typeface="Arial"/>
              <a:cs typeface="Arial"/>
            </a:rPr>
            <a:t>const</a:t>
          </a:r>
        </a:p>
        <a:p>
          <a:pPr algn="just" rtl="0">
            <a:defRPr sz="1000"/>
          </a:pPr>
          <a:r>
            <a:rPr lang="pt-BR" sz="1000" b="0" i="0" u="none" strike="noStrike" baseline="0">
              <a:solidFill>
                <a:srgbClr val="000000"/>
              </a:solidFill>
              <a:latin typeface="Arial"/>
              <a:cs typeface="Arial"/>
            </a:rPr>
            <a:t>  indice = '2121212120121212121201212121212';</a:t>
          </a:r>
        </a:p>
        <a:p>
          <a:pPr algn="just" rtl="0">
            <a:defRPr sz="1000"/>
          </a:pPr>
          <a:r>
            <a:rPr lang="pt-BR" sz="1000" b="0" i="0" u="none" strike="noStrike" baseline="0">
              <a:solidFill>
                <a:srgbClr val="000000"/>
              </a:solidFill>
              <a:latin typeface="Arial"/>
              <a:cs typeface="Arial"/>
            </a:rPr>
            <a:t>var</a:t>
          </a:r>
        </a:p>
        <a:p>
          <a:pPr algn="just" rtl="0">
            <a:defRPr sz="1000"/>
          </a:pPr>
          <a:r>
            <a:rPr lang="pt-BR" sz="1000" b="0" i="0" u="none" strike="noStrike" baseline="0">
              <a:solidFill>
                <a:srgbClr val="000000"/>
              </a:solidFill>
              <a:latin typeface="Arial"/>
              <a:cs typeface="Arial"/>
            </a:rPr>
            <a:t>  digito, soma, mult, contador: integer;</a:t>
          </a:r>
        </a:p>
        <a:p>
          <a:pPr algn="just" rtl="0">
            <a:defRPr sz="1000"/>
          </a:pPr>
          <a:r>
            <a:rPr lang="pt-BR" sz="1000" b="0" i="0" u="none" strike="noStrike" baseline="0">
              <a:solidFill>
                <a:srgbClr val="000000"/>
              </a:solidFill>
              <a:latin typeface="Arial"/>
              <a:cs typeface="Arial"/>
            </a:rPr>
            <a:t>  codigobarra: string;</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//cálculo do primeiro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 to 9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//Coloca o primeiro digito na linha digitável</a:t>
          </a:r>
        </a:p>
        <a:p>
          <a:pPr algn="just" rtl="0">
            <a:defRPr sz="1000"/>
          </a:pPr>
          <a:r>
            <a:rPr lang="pt-BR" sz="1000" b="0" i="0" u="none" strike="noStrike" baseline="0">
              <a:solidFill>
                <a:srgbClr val="000000"/>
              </a:solidFill>
              <a:latin typeface="Arial"/>
              <a:cs typeface="Arial"/>
            </a:rPr>
            <a:t>  linhadigitavel[10] := inttostr(digito)[1];</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//cálculo do segundo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11 to 20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//Coloca o segundo digito na linha digitável</a:t>
          </a:r>
        </a:p>
        <a:p>
          <a:pPr algn="just" rtl="0">
            <a:defRPr sz="1000"/>
          </a:pPr>
          <a:r>
            <a:rPr lang="pt-BR" sz="1000" b="0" i="0" u="none" strike="noStrike" baseline="0">
              <a:solidFill>
                <a:srgbClr val="000000"/>
              </a:solidFill>
              <a:latin typeface="Arial"/>
              <a:cs typeface="Arial"/>
            </a:rPr>
            <a:t>  linhadigitavel[21] := inttostr(digito)[1];</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//cálculo do terceiro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22 to 31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//Coloca o terceiro digito na linha digitável</a:t>
          </a:r>
        </a:p>
        <a:p>
          <a:pPr algn="just" rtl="0">
            <a:defRPr sz="1000"/>
          </a:pPr>
          <a:r>
            <a:rPr lang="pt-BR" sz="1000" b="0" i="0" u="none" strike="noStrike" baseline="0">
              <a:solidFill>
                <a:srgbClr val="000000"/>
              </a:solidFill>
              <a:latin typeface="Arial"/>
              <a:cs typeface="Arial"/>
            </a:rPr>
            <a:t>  linhadigitavel[32] := inttostr(digito)[1];</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//Monta o codigo de barra para verificar o último dígito</a:t>
          </a:r>
        </a:p>
        <a:p>
          <a:pPr algn="just" rtl="0">
            <a:defRPr sz="1000"/>
          </a:pPr>
          <a:r>
            <a:rPr lang="pt-BR" sz="1000" b="0" i="0" u="none" strike="noStrike" baseline="0">
              <a:solidFill>
                <a:srgbClr val="000000"/>
              </a:solidFill>
              <a:latin typeface="Arial"/>
              <a:cs typeface="Arial"/>
            </a:rPr>
            <a:t>  codigobarra := copy(linhadigitavel,  1,  3) + //Código do Banco</a:t>
          </a:r>
        </a:p>
        <a:p>
          <a:pPr algn="just" rtl="0">
            <a:defRPr sz="1000"/>
          </a:pPr>
          <a:r>
            <a:rPr lang="pt-BR" sz="1000" b="0" i="0" u="none" strike="noStrike" baseline="0">
              <a:solidFill>
                <a:srgbClr val="000000"/>
              </a:solidFill>
              <a:latin typeface="Arial"/>
              <a:cs typeface="Arial"/>
            </a:rPr>
            <a:t>                 copy(linhadigitavel,  4,  1) + //Moeda</a:t>
          </a:r>
        </a:p>
        <a:p>
          <a:pPr algn="just" rtl="0">
            <a:defRPr sz="1000"/>
          </a:pPr>
          <a:r>
            <a:rPr lang="pt-BR" sz="1000" b="0" i="0" u="none" strike="noStrike" baseline="0">
              <a:solidFill>
                <a:srgbClr val="000000"/>
              </a:solidFill>
              <a:latin typeface="Arial"/>
              <a:cs typeface="Arial"/>
            </a:rPr>
            <a:t>                 copy(linhadigitavel, 33,  1) + //Digito Verificador</a:t>
          </a:r>
        </a:p>
        <a:p>
          <a:pPr algn="just" rtl="0">
            <a:defRPr sz="1000"/>
          </a:pPr>
          <a:r>
            <a:rPr lang="pt-BR" sz="1000" b="0" i="0" u="none" strike="noStrike" baseline="0">
              <a:solidFill>
                <a:srgbClr val="000000"/>
              </a:solidFill>
              <a:latin typeface="Arial"/>
              <a:cs typeface="Arial"/>
            </a:rPr>
            <a:t>                 copy(linhadigitavel, 34,  4) + //fator de vencimento</a:t>
          </a:r>
        </a:p>
        <a:p>
          <a:pPr algn="just" rtl="0">
            <a:defRPr sz="1000"/>
          </a:pPr>
          <a:r>
            <a:rPr lang="pt-BR" sz="1000" b="0" i="0" u="none" strike="noStrike" baseline="0">
              <a:solidFill>
                <a:srgbClr val="000000"/>
              </a:solidFill>
              <a:latin typeface="Arial"/>
              <a:cs typeface="Arial"/>
            </a:rPr>
            <a:t>                 copy(linhadigitavel, 38, 10) + //valor do documento</a:t>
          </a:r>
        </a:p>
        <a:p>
          <a:pPr algn="just" rtl="0">
            <a:defRPr sz="1000"/>
          </a:pPr>
          <a:r>
            <a:rPr lang="pt-BR" sz="1000" b="0" i="0" u="none" strike="noStrike" baseline="0">
              <a:solidFill>
                <a:srgbClr val="000000"/>
              </a:solidFill>
              <a:latin typeface="Arial"/>
              <a:cs typeface="Arial"/>
            </a:rPr>
            <a:t>                 copy(linhadigitavel,  5,  1) + //Carteira</a:t>
          </a:r>
        </a:p>
        <a:p>
          <a:pPr algn="just" rtl="0">
            <a:defRPr sz="1000"/>
          </a:pPr>
          <a:r>
            <a:rPr lang="pt-BR" sz="1000" b="0" i="0" u="none" strike="noStrike" baseline="0">
              <a:solidFill>
                <a:srgbClr val="000000"/>
              </a:solidFill>
              <a:latin typeface="Arial"/>
              <a:cs typeface="Arial"/>
            </a:rPr>
            <a:t>                 copy(linhadigitavel,  6,  4) + //Agencia</a:t>
          </a:r>
        </a:p>
        <a:p>
          <a:pPr algn="just" rtl="0">
            <a:defRPr sz="1000"/>
          </a:pPr>
          <a:r>
            <a:rPr lang="pt-BR" sz="1000" b="0" i="0" u="none" strike="noStrike" baseline="0">
              <a:solidFill>
                <a:srgbClr val="000000"/>
              </a:solidFill>
              <a:latin typeface="Arial"/>
              <a:cs typeface="Arial"/>
            </a:rPr>
            <a:t>                 copy(linhadigitavel, 11,  2) + //Modalidade Cobranca</a:t>
          </a:r>
        </a:p>
        <a:p>
          <a:pPr algn="just" rtl="0">
            <a:defRPr sz="1000"/>
          </a:pPr>
          <a:r>
            <a:rPr lang="pt-BR" sz="1000" b="0" i="0" u="none" strike="noStrike" baseline="0">
              <a:solidFill>
                <a:srgbClr val="000000"/>
              </a:solidFill>
              <a:latin typeface="Arial"/>
              <a:cs typeface="Arial"/>
            </a:rPr>
            <a:t>                 copy(linhadigitavel, 13,  7) + //Código do Cliente</a:t>
          </a:r>
        </a:p>
        <a:p>
          <a:pPr algn="just" rtl="0">
            <a:defRPr sz="1000"/>
          </a:pPr>
          <a:r>
            <a:rPr lang="pt-BR" sz="1000" b="0" i="0" u="none" strike="noStrike" baseline="0">
              <a:solidFill>
                <a:srgbClr val="000000"/>
              </a:solidFill>
              <a:latin typeface="Arial"/>
              <a:cs typeface="Arial"/>
            </a:rPr>
            <a:t>                 copy(linhadigitavel, 20,  1) + copy(linhadigitavel, 22, 7) + //Nosso Numero</a:t>
          </a:r>
        </a:p>
        <a:p>
          <a:pPr algn="just" rtl="0">
            <a:defRPr sz="1000"/>
          </a:pPr>
          <a:r>
            <a:rPr lang="pt-BR" sz="1000" b="0" i="0" u="none" strike="noStrike" baseline="0">
              <a:solidFill>
                <a:srgbClr val="000000"/>
              </a:solidFill>
              <a:latin typeface="Arial"/>
              <a:cs typeface="Arial"/>
            </a:rPr>
            <a:t>                 copy(linhadigitavel, 29,  3); //Parcela</a:t>
          </a:r>
        </a:p>
        <a:p>
          <a:pPr algn="just" rtl="0">
            <a:defRPr sz="1000"/>
          </a:pPr>
          <a:r>
            <a:rPr lang="pt-BR" sz="1000" b="0" i="0" u="none" strike="noStrike" baseline="0">
              <a:solidFill>
                <a:srgbClr val="000000"/>
              </a:solidFill>
              <a:latin typeface="Arial"/>
              <a:cs typeface="Arial"/>
            </a:rPr>
            <a:t>  codigobarra := DigitoCodigoBarra(codigobarra);</a:t>
          </a:r>
        </a:p>
        <a:p>
          <a:pPr algn="just" rtl="0">
            <a:defRPr sz="1000"/>
          </a:pPr>
          <a:r>
            <a:rPr lang="pt-BR" sz="1000" b="0" i="0" u="none" strike="noStrike" baseline="0">
              <a:solidFill>
                <a:srgbClr val="000000"/>
              </a:solidFill>
              <a:latin typeface="Arial"/>
              <a:cs typeface="Arial"/>
            </a:rPr>
            <a:t>  //Coloca o primeiro digito na linha digitável</a:t>
          </a:r>
        </a:p>
        <a:p>
          <a:pPr algn="just" rtl="0">
            <a:defRPr sz="1000"/>
          </a:pPr>
          <a:r>
            <a:rPr lang="pt-BR" sz="1000" b="0" i="0" u="none" strike="noStrike" baseline="0">
              <a:solidFill>
                <a:srgbClr val="000000"/>
              </a:solidFill>
              <a:latin typeface="Arial"/>
              <a:cs typeface="Arial"/>
            </a:rPr>
            <a:t>  linhadigitavel[33] := codigobarra[5];</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result := linhadigitavel;</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Validação da Linha Digitável</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ValidaLinhaDigitavel(linhadigitavel: string): boolean;</a:t>
          </a:r>
        </a:p>
        <a:p>
          <a:pPr algn="just" rtl="0">
            <a:defRPr sz="1000"/>
          </a:pPr>
          <a:r>
            <a:rPr lang="pt-BR" sz="1000" b="0" i="0" u="none" strike="noStrike" baseline="0">
              <a:solidFill>
                <a:srgbClr val="000000"/>
              </a:solidFill>
              <a:latin typeface="Arial"/>
              <a:cs typeface="Arial"/>
            </a:rPr>
            <a:t>const</a:t>
          </a:r>
        </a:p>
        <a:p>
          <a:pPr algn="just" rtl="0">
            <a:defRPr sz="1000"/>
          </a:pPr>
          <a:r>
            <a:rPr lang="pt-BR" sz="1000" b="0" i="0" u="none" strike="noStrike" baseline="0">
              <a:solidFill>
                <a:srgbClr val="000000"/>
              </a:solidFill>
              <a:latin typeface="Arial"/>
              <a:cs typeface="Arial"/>
            </a:rPr>
            <a:t>  indice = '2121212120121212121201212121212';</a:t>
          </a:r>
        </a:p>
        <a:p>
          <a:pPr algn="just" rtl="0">
            <a:defRPr sz="1000"/>
          </a:pPr>
          <a:r>
            <a:rPr lang="pt-BR" sz="1000" b="0" i="0" u="none" strike="noStrike" baseline="0">
              <a:solidFill>
                <a:srgbClr val="000000"/>
              </a:solidFill>
              <a:latin typeface="Arial"/>
              <a:cs typeface="Arial"/>
            </a:rPr>
            <a:t>var</a:t>
          </a:r>
        </a:p>
        <a:p>
          <a:pPr algn="just" rtl="0">
            <a:defRPr sz="1000"/>
          </a:pPr>
          <a:r>
            <a:rPr lang="pt-BR" sz="1000" b="0" i="0" u="none" strike="noStrike" baseline="0">
              <a:solidFill>
                <a:srgbClr val="000000"/>
              </a:solidFill>
              <a:latin typeface="Arial"/>
              <a:cs typeface="Arial"/>
            </a:rPr>
            <a:t>  digito, soma, mult, contador: integer;</a:t>
          </a:r>
        </a:p>
        <a:p>
          <a:pPr algn="just" rtl="0">
            <a:defRPr sz="1000"/>
          </a:pPr>
          <a:r>
            <a:rPr lang="pt-BR" sz="1000" b="0" i="0" u="none" strike="noStrike" baseline="0">
              <a:solidFill>
                <a:srgbClr val="000000"/>
              </a:solidFill>
              <a:latin typeface="Arial"/>
              <a:cs typeface="Arial"/>
            </a:rPr>
            <a:t>  codigobarra: string;</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result := true;</a:t>
          </a:r>
        </a:p>
        <a:p>
          <a:pPr algn="just" rtl="0">
            <a:defRPr sz="1000"/>
          </a:pPr>
          <a:r>
            <a:rPr lang="pt-BR" sz="1000" b="0" i="0" u="none" strike="noStrike" baseline="0">
              <a:solidFill>
                <a:srgbClr val="000000"/>
              </a:solidFill>
              <a:latin typeface="Arial"/>
              <a:cs typeface="Arial"/>
            </a:rPr>
            <a:t>  //cálculo do primeiro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 to 9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//Testa o primeiro dígito</a:t>
          </a:r>
        </a:p>
        <a:p>
          <a:pPr algn="just" rtl="0">
            <a:defRPr sz="1000"/>
          </a:pPr>
          <a:r>
            <a:rPr lang="pt-BR" sz="1000" b="0" i="0" u="none" strike="noStrike" baseline="0">
              <a:solidFill>
                <a:srgbClr val="000000"/>
              </a:solidFill>
              <a:latin typeface="Arial"/>
              <a:cs typeface="Arial"/>
            </a:rPr>
            <a:t>  if strtoint(linhadigitavel[10]) &lt;&gt; digito then</a:t>
          </a:r>
        </a:p>
        <a:p>
          <a:pPr algn="just" rtl="0">
            <a:defRPr sz="1000"/>
          </a:pPr>
          <a:r>
            <a:rPr lang="pt-BR" sz="1000" b="0" i="0" u="none" strike="noStrike" baseline="0">
              <a:solidFill>
                <a:srgbClr val="000000"/>
              </a:solidFill>
              <a:latin typeface="Arial"/>
              <a:cs typeface="Arial"/>
            </a:rPr>
            <a:t>    result := false;</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//cálculo do segundo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11 to 20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//Testa o segundo dígito</a:t>
          </a:r>
        </a:p>
        <a:p>
          <a:pPr algn="just" rtl="0">
            <a:defRPr sz="1000"/>
          </a:pPr>
          <a:r>
            <a:rPr lang="pt-BR" sz="1000" b="0" i="0" u="none" strike="noStrike" baseline="0">
              <a:solidFill>
                <a:srgbClr val="000000"/>
              </a:solidFill>
              <a:latin typeface="Arial"/>
              <a:cs typeface="Arial"/>
            </a:rPr>
            <a:t>  if strtoint(linhadigitavel[21]) &lt;&gt; digito then</a:t>
          </a:r>
        </a:p>
        <a:p>
          <a:pPr algn="just" rtl="0">
            <a:defRPr sz="1000"/>
          </a:pPr>
          <a:r>
            <a:rPr lang="pt-BR" sz="1000" b="0" i="0" u="none" strike="noStrike" baseline="0">
              <a:solidFill>
                <a:srgbClr val="000000"/>
              </a:solidFill>
              <a:latin typeface="Arial"/>
              <a:cs typeface="Arial"/>
            </a:rPr>
            <a:t>    result := false;</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//cálculo do terceiro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22 to 31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//Testa o terceiro dígito</a:t>
          </a:r>
        </a:p>
        <a:p>
          <a:pPr algn="just" rtl="0">
            <a:defRPr sz="1000"/>
          </a:pPr>
          <a:r>
            <a:rPr lang="pt-BR" sz="1000" b="0" i="0" u="none" strike="noStrike" baseline="0">
              <a:solidFill>
                <a:srgbClr val="000000"/>
              </a:solidFill>
              <a:latin typeface="Arial"/>
              <a:cs typeface="Arial"/>
            </a:rPr>
            <a:t>  if strtoint(linhadigitavel[32]) &lt;&gt; digito then</a:t>
          </a:r>
        </a:p>
        <a:p>
          <a:pPr algn="just" rtl="0">
            <a:defRPr sz="1000"/>
          </a:pPr>
          <a:r>
            <a:rPr lang="pt-BR" sz="1000" b="0" i="0" u="none" strike="noStrike" baseline="0">
              <a:solidFill>
                <a:srgbClr val="000000"/>
              </a:solidFill>
              <a:latin typeface="Arial"/>
              <a:cs typeface="Arial"/>
            </a:rPr>
            <a:t>    result := false;</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//Monta o codigo de barra para verificar o último dígito</a:t>
          </a:r>
        </a:p>
        <a:p>
          <a:pPr algn="just" rtl="0">
            <a:defRPr sz="1000"/>
          </a:pPr>
          <a:r>
            <a:rPr lang="pt-BR" sz="1000" b="0" i="0" u="none" strike="noStrike" baseline="0">
              <a:solidFill>
                <a:srgbClr val="000000"/>
              </a:solidFill>
              <a:latin typeface="Arial"/>
              <a:cs typeface="Arial"/>
            </a:rPr>
            <a:t>  codigobarra := copy(linhadigitavel,  1,  3) + //Código do Banco</a:t>
          </a:r>
        </a:p>
        <a:p>
          <a:pPr algn="just" rtl="0">
            <a:defRPr sz="1000"/>
          </a:pPr>
          <a:r>
            <a:rPr lang="pt-BR" sz="1000" b="0" i="0" u="none" strike="noStrike" baseline="0">
              <a:solidFill>
                <a:srgbClr val="000000"/>
              </a:solidFill>
              <a:latin typeface="Arial"/>
              <a:cs typeface="Arial"/>
            </a:rPr>
            <a:t>                 copy(linhadigitavel,  4,  1) + //Moeda</a:t>
          </a:r>
        </a:p>
        <a:p>
          <a:pPr algn="just" rtl="0">
            <a:defRPr sz="1000"/>
          </a:pPr>
          <a:r>
            <a:rPr lang="pt-BR" sz="1000" b="0" i="0" u="none" strike="noStrike" baseline="0">
              <a:solidFill>
                <a:srgbClr val="000000"/>
              </a:solidFill>
              <a:latin typeface="Arial"/>
              <a:cs typeface="Arial"/>
            </a:rPr>
            <a:t>                 copy(linhadigitavel, 33,  1) + //Digito Verificador</a:t>
          </a:r>
        </a:p>
        <a:p>
          <a:pPr algn="just" rtl="0">
            <a:defRPr sz="1000"/>
          </a:pPr>
          <a:r>
            <a:rPr lang="pt-BR" sz="1000" b="0" i="0" u="none" strike="noStrike" baseline="0">
              <a:solidFill>
                <a:srgbClr val="000000"/>
              </a:solidFill>
              <a:latin typeface="Arial"/>
              <a:cs typeface="Arial"/>
            </a:rPr>
            <a:t>                 copy(linhadigitavel, 34,  4) + //fator de vencimento</a:t>
          </a:r>
        </a:p>
        <a:p>
          <a:pPr algn="just" rtl="0">
            <a:defRPr sz="1000"/>
          </a:pPr>
          <a:r>
            <a:rPr lang="pt-BR" sz="1000" b="0" i="0" u="none" strike="noStrike" baseline="0">
              <a:solidFill>
                <a:srgbClr val="000000"/>
              </a:solidFill>
              <a:latin typeface="Arial"/>
              <a:cs typeface="Arial"/>
            </a:rPr>
            <a:t>                 copy(linhadigitavel, 38, 10) + //valor do documento</a:t>
          </a:r>
        </a:p>
        <a:p>
          <a:pPr algn="just" rtl="0">
            <a:defRPr sz="1000"/>
          </a:pPr>
          <a:r>
            <a:rPr lang="pt-BR" sz="1000" b="0" i="0" u="none" strike="noStrike" baseline="0">
              <a:solidFill>
                <a:srgbClr val="000000"/>
              </a:solidFill>
              <a:latin typeface="Arial"/>
              <a:cs typeface="Arial"/>
            </a:rPr>
            <a:t>                 copy(linhadigitavel,  5,  1) + //Carteira</a:t>
          </a:r>
        </a:p>
        <a:p>
          <a:pPr algn="just" rtl="0">
            <a:defRPr sz="1000"/>
          </a:pPr>
          <a:r>
            <a:rPr lang="pt-BR" sz="1000" b="0" i="0" u="none" strike="noStrike" baseline="0">
              <a:solidFill>
                <a:srgbClr val="000000"/>
              </a:solidFill>
              <a:latin typeface="Arial"/>
              <a:cs typeface="Arial"/>
            </a:rPr>
            <a:t>                 copy(linhadigitavel,  6,  4) + //Agencia</a:t>
          </a:r>
        </a:p>
        <a:p>
          <a:pPr algn="just" rtl="0">
            <a:defRPr sz="1000"/>
          </a:pPr>
          <a:r>
            <a:rPr lang="pt-BR" sz="1000" b="0" i="0" u="none" strike="noStrike" baseline="0">
              <a:solidFill>
                <a:srgbClr val="000000"/>
              </a:solidFill>
              <a:latin typeface="Arial"/>
              <a:cs typeface="Arial"/>
            </a:rPr>
            <a:t>                 copy(linhadigitavel, 11,  2) + //Modalidade Cobranca</a:t>
          </a:r>
        </a:p>
        <a:p>
          <a:pPr algn="just" rtl="0">
            <a:defRPr sz="1000"/>
          </a:pPr>
          <a:r>
            <a:rPr lang="pt-BR" sz="1000" b="0" i="0" u="none" strike="noStrike" baseline="0">
              <a:solidFill>
                <a:srgbClr val="000000"/>
              </a:solidFill>
              <a:latin typeface="Arial"/>
              <a:cs typeface="Arial"/>
            </a:rPr>
            <a:t>                 copy(linhadigitavel, 13,  7) + //Código do Cliente</a:t>
          </a:r>
        </a:p>
        <a:p>
          <a:pPr algn="just" rtl="0">
            <a:defRPr sz="1000"/>
          </a:pPr>
          <a:r>
            <a:rPr lang="pt-BR" sz="1000" b="0" i="0" u="none" strike="noStrike" baseline="0">
              <a:solidFill>
                <a:srgbClr val="000000"/>
              </a:solidFill>
              <a:latin typeface="Arial"/>
              <a:cs typeface="Arial"/>
            </a:rPr>
            <a:t>                 copy(linhadigitavel, 20,  1) + copy(linhadigitavel, 22, 7) + //Nosso Numero</a:t>
          </a:r>
        </a:p>
        <a:p>
          <a:pPr algn="just" rtl="0">
            <a:defRPr sz="1000"/>
          </a:pPr>
          <a:r>
            <a:rPr lang="pt-BR" sz="1000" b="0" i="0" u="none" strike="noStrike" baseline="0">
              <a:solidFill>
                <a:srgbClr val="000000"/>
              </a:solidFill>
              <a:latin typeface="Arial"/>
              <a:cs typeface="Arial"/>
            </a:rPr>
            <a:t>                 copy(linhadigitavel, 29,  3); //Parcela</a:t>
          </a:r>
        </a:p>
        <a:p>
          <a:pPr algn="just" rtl="0">
            <a:defRPr sz="1000"/>
          </a:pPr>
          <a:r>
            <a:rPr lang="pt-BR" sz="1000" b="0" i="0" u="none" strike="noStrike" baseline="0">
              <a:solidFill>
                <a:srgbClr val="000000"/>
              </a:solidFill>
              <a:latin typeface="Arial"/>
              <a:cs typeface="Arial"/>
            </a:rPr>
            <a:t>  if not ValidaCodigoBarra(codigobarra) then</a:t>
          </a:r>
        </a:p>
        <a:p>
          <a:pPr algn="just" rtl="0">
            <a:defRPr sz="1000"/>
          </a:pPr>
          <a:r>
            <a:rPr lang="pt-BR" sz="1000" b="0" i="0" u="none" strike="noStrike" baseline="0">
              <a:solidFill>
                <a:srgbClr val="000000"/>
              </a:solidFill>
              <a:latin typeface="Arial"/>
              <a:cs typeface="Arial"/>
            </a:rPr>
            <a:t>    result := false;</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Definir o Próximo Múltiplo de 10</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Multiplo10(numero: integer): integer;</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while (numero mod 10) &lt;&gt; 0 do</a:t>
          </a:r>
        </a:p>
        <a:p>
          <a:pPr algn="just" rtl="0">
            <a:defRPr sz="1000"/>
          </a:pPr>
          <a:r>
            <a:rPr lang="pt-BR" sz="1000" b="0" i="0" u="none" strike="noStrike" baseline="0">
              <a:solidFill>
                <a:srgbClr val="000000"/>
              </a:solidFill>
              <a:latin typeface="Arial"/>
              <a:cs typeface="Arial"/>
            </a:rPr>
            <a:t>    inc(numero);</a:t>
          </a:r>
        </a:p>
        <a:p>
          <a:pPr algn="just" rtl="0">
            <a:defRPr sz="1000"/>
          </a:pPr>
          <a:r>
            <a:rPr lang="pt-BR" sz="1000" b="0" i="0" u="none" strike="noStrike" baseline="0">
              <a:solidFill>
                <a:srgbClr val="000000"/>
              </a:solidFill>
              <a:latin typeface="Arial"/>
              <a:cs typeface="Arial"/>
            </a:rPr>
            <a:t>  result := numero;</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xdr:txBody>
    </xdr:sp>
    <xdr:clientData/>
  </xdr:twoCellAnchor>
  <xdr:oneCellAnchor>
    <xdr:from>
      <xdr:col>16</xdr:col>
      <xdr:colOff>89646</xdr:colOff>
      <xdr:row>0</xdr:row>
      <xdr:rowOff>44822</xdr:rowOff>
    </xdr:from>
    <xdr:ext cx="548099" cy="239809"/>
    <xdr:sp macro="" textlink="">
      <xdr:nvSpPr>
        <xdr:cNvPr id="2" name="CaixaDeTexto 1"/>
        <xdr:cNvSpPr txBox="1"/>
      </xdr:nvSpPr>
      <xdr:spPr>
        <a:xfrm>
          <a:off x="9843246" y="44822"/>
          <a:ext cx="548099"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b="1">
              <a:latin typeface="Arial" pitchFamily="34" charset="0"/>
              <a:cs typeface="Arial" pitchFamily="34" charset="0"/>
            </a:rPr>
            <a:t>Voltar</a:t>
          </a:r>
        </a:p>
      </xdr:txBody>
    </xdr:sp>
    <xdr:clientData/>
  </xdr:oneCellAnchor>
  <xdr:twoCellAnchor>
    <xdr:from>
      <xdr:col>15</xdr:col>
      <xdr:colOff>380999</xdr:colOff>
      <xdr:row>0</xdr:row>
      <xdr:rowOff>38098</xdr:rowOff>
    </xdr:from>
    <xdr:to>
      <xdr:col>16</xdr:col>
      <xdr:colOff>125403</xdr:colOff>
      <xdr:row>1</xdr:row>
      <xdr:rowOff>152038</xdr:rowOff>
    </xdr:to>
    <xdr:sp macro="" textlink="">
      <xdr:nvSpPr>
        <xdr:cNvPr id="4" name="Seta para a direita 3">
          <a:hlinkClick xmlns:r="http://schemas.openxmlformats.org/officeDocument/2006/relationships" r:id="rId1"/>
        </xdr:cNvPr>
        <xdr:cNvSpPr/>
      </xdr:nvSpPr>
      <xdr:spPr>
        <a:xfrm rot="10800000">
          <a:off x="9524999" y="38098"/>
          <a:ext cx="354004" cy="275865"/>
        </a:xfrm>
        <a:prstGeom prst="rightArrow">
          <a:avLst/>
        </a:prstGeom>
        <a:solidFill>
          <a:schemeClr val="accent5">
            <a:lumMod val="5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r"/>
          <a:endParaRPr lang="pt-BR" sz="1100"/>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01"/>
  <dimension ref="A1:B987"/>
  <sheetViews>
    <sheetView topLeftCell="A775" workbookViewId="0">
      <selection activeCell="B792" sqref="B792"/>
    </sheetView>
  </sheetViews>
  <sheetFormatPr defaultRowHeight="12.75" x14ac:dyDescent="0.2"/>
  <cols>
    <col min="1" max="1" width="6.7109375" bestFit="1" customWidth="1"/>
    <col min="2" max="2" width="36.140625" bestFit="1" customWidth="1"/>
  </cols>
  <sheetData>
    <row r="1" spans="1:2" x14ac:dyDescent="0.2">
      <c r="A1" s="217" t="s">
        <v>21</v>
      </c>
      <c r="B1" s="217"/>
    </row>
    <row r="3" spans="1:2" x14ac:dyDescent="0.2">
      <c r="A3" s="216" t="s">
        <v>20</v>
      </c>
      <c r="B3" s="216"/>
    </row>
    <row r="4" spans="1:2" x14ac:dyDescent="0.2">
      <c r="A4" s="3" t="s">
        <v>22</v>
      </c>
      <c r="B4" s="3" t="s">
        <v>19</v>
      </c>
    </row>
    <row r="5" spans="1:2" x14ac:dyDescent="0.2">
      <c r="A5" s="192" t="s">
        <v>1740</v>
      </c>
      <c r="B5" s="192" t="s">
        <v>1196</v>
      </c>
    </row>
    <row r="6" spans="1:2" x14ac:dyDescent="0.2">
      <c r="A6" s="191" t="s">
        <v>258</v>
      </c>
      <c r="B6" s="191" t="s">
        <v>1767</v>
      </c>
    </row>
    <row r="7" spans="1:2" x14ac:dyDescent="0.2">
      <c r="A7" s="191" t="s">
        <v>259</v>
      </c>
      <c r="B7" s="191" t="s">
        <v>1768</v>
      </c>
    </row>
    <row r="8" spans="1:2" x14ac:dyDescent="0.2">
      <c r="A8" s="191" t="s">
        <v>260</v>
      </c>
      <c r="B8" s="191" t="s">
        <v>1769</v>
      </c>
    </row>
    <row r="9" spans="1:2" x14ac:dyDescent="0.2">
      <c r="A9" s="191" t="s">
        <v>261</v>
      </c>
      <c r="B9" s="191" t="s">
        <v>1770</v>
      </c>
    </row>
    <row r="10" spans="1:2" x14ac:dyDescent="0.2">
      <c r="A10" s="191" t="s">
        <v>262</v>
      </c>
      <c r="B10" s="191" t="s">
        <v>1771</v>
      </c>
    </row>
    <row r="11" spans="1:2" x14ac:dyDescent="0.2">
      <c r="A11" s="191" t="s">
        <v>263</v>
      </c>
      <c r="B11" s="191" t="s">
        <v>1772</v>
      </c>
    </row>
    <row r="12" spans="1:2" x14ac:dyDescent="0.2">
      <c r="A12" s="191" t="s">
        <v>264</v>
      </c>
      <c r="B12" s="191" t="s">
        <v>1773</v>
      </c>
    </row>
    <row r="13" spans="1:2" x14ac:dyDescent="0.2">
      <c r="A13" s="191" t="s">
        <v>265</v>
      </c>
      <c r="B13" s="191" t="s">
        <v>1774</v>
      </c>
    </row>
    <row r="14" spans="1:2" x14ac:dyDescent="0.2">
      <c r="A14" s="191" t="s">
        <v>266</v>
      </c>
      <c r="B14" s="191" t="s">
        <v>1775</v>
      </c>
    </row>
    <row r="15" spans="1:2" x14ac:dyDescent="0.2">
      <c r="A15" s="191" t="s">
        <v>267</v>
      </c>
      <c r="B15" s="191" t="s">
        <v>1776</v>
      </c>
    </row>
    <row r="16" spans="1:2" x14ac:dyDescent="0.2">
      <c r="A16" s="191" t="s">
        <v>268</v>
      </c>
      <c r="B16" s="191" t="s">
        <v>1777</v>
      </c>
    </row>
    <row r="17" spans="1:2" x14ac:dyDescent="0.2">
      <c r="A17" s="191" t="s">
        <v>269</v>
      </c>
      <c r="B17" s="191" t="s">
        <v>1778</v>
      </c>
    </row>
    <row r="18" spans="1:2" x14ac:dyDescent="0.2">
      <c r="A18" s="191" t="s">
        <v>270</v>
      </c>
      <c r="B18" s="191" t="s">
        <v>1779</v>
      </c>
    </row>
    <row r="19" spans="1:2" x14ac:dyDescent="0.2">
      <c r="A19" s="191" t="s">
        <v>271</v>
      </c>
      <c r="B19" s="191" t="s">
        <v>1780</v>
      </c>
    </row>
    <row r="20" spans="1:2" x14ac:dyDescent="0.2">
      <c r="A20" s="191" t="s">
        <v>272</v>
      </c>
      <c r="B20" s="191" t="s">
        <v>1781</v>
      </c>
    </row>
    <row r="21" spans="1:2" x14ac:dyDescent="0.2">
      <c r="A21" s="191" t="s">
        <v>273</v>
      </c>
      <c r="B21" s="191" t="s">
        <v>1782</v>
      </c>
    </row>
    <row r="22" spans="1:2" x14ac:dyDescent="0.2">
      <c r="A22" s="191" t="s">
        <v>274</v>
      </c>
      <c r="B22" s="191" t="s">
        <v>1783</v>
      </c>
    </row>
    <row r="23" spans="1:2" x14ac:dyDescent="0.2">
      <c r="A23" s="191" t="s">
        <v>275</v>
      </c>
      <c r="B23" s="191" t="s">
        <v>1784</v>
      </c>
    </row>
    <row r="24" spans="1:2" x14ac:dyDescent="0.2">
      <c r="A24" s="191" t="s">
        <v>276</v>
      </c>
      <c r="B24" s="191" t="s">
        <v>1785</v>
      </c>
    </row>
    <row r="25" spans="1:2" x14ac:dyDescent="0.2">
      <c r="A25" s="191" t="s">
        <v>277</v>
      </c>
      <c r="B25" s="191" t="s">
        <v>1786</v>
      </c>
    </row>
    <row r="26" spans="1:2" x14ac:dyDescent="0.2">
      <c r="A26" s="191" t="s">
        <v>278</v>
      </c>
      <c r="B26" s="191" t="s">
        <v>1787</v>
      </c>
    </row>
    <row r="27" spans="1:2" x14ac:dyDescent="0.2">
      <c r="A27" s="191" t="s">
        <v>279</v>
      </c>
      <c r="B27" s="191" t="s">
        <v>1788</v>
      </c>
    </row>
    <row r="28" spans="1:2" x14ac:dyDescent="0.2">
      <c r="A28" s="191" t="s">
        <v>280</v>
      </c>
      <c r="B28" s="191" t="s">
        <v>1789</v>
      </c>
    </row>
    <row r="29" spans="1:2" x14ac:dyDescent="0.2">
      <c r="A29" s="191" t="s">
        <v>1741</v>
      </c>
      <c r="B29" s="191" t="s">
        <v>1790</v>
      </c>
    </row>
    <row r="30" spans="1:2" x14ac:dyDescent="0.2">
      <c r="A30" s="191" t="s">
        <v>1742</v>
      </c>
      <c r="B30" s="191" t="s">
        <v>1791</v>
      </c>
    </row>
    <row r="31" spans="1:2" x14ac:dyDescent="0.2">
      <c r="A31" s="191" t="s">
        <v>1792</v>
      </c>
      <c r="B31" s="191" t="s">
        <v>1793</v>
      </c>
    </row>
    <row r="32" spans="1:2" x14ac:dyDescent="0.2">
      <c r="A32" s="191" t="s">
        <v>11</v>
      </c>
      <c r="B32" s="191" t="s">
        <v>1794</v>
      </c>
    </row>
    <row r="33" spans="1:2" x14ac:dyDescent="0.2">
      <c r="A33" s="191" t="s">
        <v>281</v>
      </c>
      <c r="B33" s="191" t="s">
        <v>1795</v>
      </c>
    </row>
    <row r="34" spans="1:2" x14ac:dyDescent="0.2">
      <c r="A34" s="191" t="s">
        <v>12</v>
      </c>
      <c r="B34" s="191" t="s">
        <v>1796</v>
      </c>
    </row>
    <row r="35" spans="1:2" x14ac:dyDescent="0.2">
      <c r="A35" s="191" t="s">
        <v>282</v>
      </c>
      <c r="B35" s="191" t="s">
        <v>1797</v>
      </c>
    </row>
    <row r="36" spans="1:2" x14ac:dyDescent="0.2">
      <c r="A36" s="191" t="s">
        <v>283</v>
      </c>
      <c r="B36" s="191" t="s">
        <v>1798</v>
      </c>
    </row>
    <row r="37" spans="1:2" x14ac:dyDescent="0.2">
      <c r="A37" s="191" t="s">
        <v>13</v>
      </c>
      <c r="B37" s="191" t="s">
        <v>1799</v>
      </c>
    </row>
    <row r="38" spans="1:2" x14ac:dyDescent="0.2">
      <c r="A38" s="191" t="s">
        <v>14</v>
      </c>
      <c r="B38" s="191" t="s">
        <v>1800</v>
      </c>
    </row>
    <row r="39" spans="1:2" x14ac:dyDescent="0.2">
      <c r="A39" s="191" t="s">
        <v>15</v>
      </c>
      <c r="B39" s="191" t="s">
        <v>1801</v>
      </c>
    </row>
    <row r="40" spans="1:2" x14ac:dyDescent="0.2">
      <c r="A40" s="191" t="s">
        <v>16</v>
      </c>
      <c r="B40" s="191" t="s">
        <v>1773</v>
      </c>
    </row>
    <row r="41" spans="1:2" x14ac:dyDescent="0.2">
      <c r="A41" s="191" t="s">
        <v>7</v>
      </c>
      <c r="B41" s="191" t="s">
        <v>1802</v>
      </c>
    </row>
    <row r="42" spans="1:2" x14ac:dyDescent="0.2">
      <c r="A42" s="191" t="s">
        <v>284</v>
      </c>
      <c r="B42" s="191" t="s">
        <v>1803</v>
      </c>
    </row>
    <row r="43" spans="1:2" x14ac:dyDescent="0.2">
      <c r="A43" s="191" t="s">
        <v>285</v>
      </c>
      <c r="B43" s="191" t="s">
        <v>1804</v>
      </c>
    </row>
    <row r="44" spans="1:2" x14ac:dyDescent="0.2">
      <c r="A44" s="191" t="s">
        <v>286</v>
      </c>
      <c r="B44" s="191" t="s">
        <v>1805</v>
      </c>
    </row>
    <row r="45" spans="1:2" x14ac:dyDescent="0.2">
      <c r="A45" s="191" t="s">
        <v>287</v>
      </c>
      <c r="B45" s="191" t="s">
        <v>1806</v>
      </c>
    </row>
    <row r="46" spans="1:2" x14ac:dyDescent="0.2">
      <c r="A46" s="191" t="s">
        <v>288</v>
      </c>
      <c r="B46" s="191" t="s">
        <v>1807</v>
      </c>
    </row>
    <row r="47" spans="1:2" x14ac:dyDescent="0.2">
      <c r="A47" s="191" t="s">
        <v>289</v>
      </c>
      <c r="B47" s="191" t="s">
        <v>1808</v>
      </c>
    </row>
    <row r="48" spans="1:2" x14ac:dyDescent="0.2">
      <c r="A48" s="191" t="s">
        <v>290</v>
      </c>
      <c r="B48" s="191" t="s">
        <v>1809</v>
      </c>
    </row>
    <row r="49" spans="1:2" x14ac:dyDescent="0.2">
      <c r="A49" s="191" t="s">
        <v>291</v>
      </c>
      <c r="B49" s="191" t="s">
        <v>1810</v>
      </c>
    </row>
    <row r="50" spans="1:2" x14ac:dyDescent="0.2">
      <c r="A50" s="191" t="s">
        <v>292</v>
      </c>
      <c r="B50" s="191" t="s">
        <v>1811</v>
      </c>
    </row>
    <row r="51" spans="1:2" x14ac:dyDescent="0.2">
      <c r="A51" s="191" t="s">
        <v>293</v>
      </c>
      <c r="B51" s="191" t="s">
        <v>1812</v>
      </c>
    </row>
    <row r="52" spans="1:2" x14ac:dyDescent="0.2">
      <c r="A52" s="191" t="s">
        <v>294</v>
      </c>
      <c r="B52" s="191" t="s">
        <v>1813</v>
      </c>
    </row>
    <row r="53" spans="1:2" x14ac:dyDescent="0.2">
      <c r="A53" s="191" t="s">
        <v>295</v>
      </c>
      <c r="B53" s="191" t="s">
        <v>1814</v>
      </c>
    </row>
    <row r="54" spans="1:2" x14ac:dyDescent="0.2">
      <c r="A54" s="191" t="s">
        <v>296</v>
      </c>
      <c r="B54" s="191" t="s">
        <v>1815</v>
      </c>
    </row>
    <row r="55" spans="1:2" x14ac:dyDescent="0.2">
      <c r="A55" s="191" t="s">
        <v>297</v>
      </c>
      <c r="B55" s="191" t="s">
        <v>1816</v>
      </c>
    </row>
    <row r="56" spans="1:2" x14ac:dyDescent="0.2">
      <c r="A56" s="191" t="s">
        <v>298</v>
      </c>
      <c r="B56" s="191" t="s">
        <v>1817</v>
      </c>
    </row>
    <row r="57" spans="1:2" x14ac:dyDescent="0.2">
      <c r="A57" s="191" t="s">
        <v>299</v>
      </c>
      <c r="B57" s="191" t="s">
        <v>1818</v>
      </c>
    </row>
    <row r="58" spans="1:2" x14ac:dyDescent="0.2">
      <c r="A58" s="191" t="s">
        <v>300</v>
      </c>
      <c r="B58" s="191" t="s">
        <v>1819</v>
      </c>
    </row>
    <row r="59" spans="1:2" x14ac:dyDescent="0.2">
      <c r="A59" s="191" t="s">
        <v>301</v>
      </c>
      <c r="B59" s="191" t="s">
        <v>1820</v>
      </c>
    </row>
    <row r="60" spans="1:2" x14ac:dyDescent="0.2">
      <c r="A60" s="191" t="s">
        <v>302</v>
      </c>
      <c r="B60" s="191" t="s">
        <v>1821</v>
      </c>
    </row>
    <row r="61" spans="1:2" x14ac:dyDescent="0.2">
      <c r="A61" s="191" t="s">
        <v>303</v>
      </c>
      <c r="B61" s="191" t="s">
        <v>1822</v>
      </c>
    </row>
    <row r="62" spans="1:2" x14ac:dyDescent="0.2">
      <c r="A62" s="191" t="s">
        <v>304</v>
      </c>
      <c r="B62" s="191" t="s">
        <v>1823</v>
      </c>
    </row>
    <row r="63" spans="1:2" x14ac:dyDescent="0.2">
      <c r="A63" s="191" t="s">
        <v>305</v>
      </c>
      <c r="B63" s="191" t="s">
        <v>1824</v>
      </c>
    </row>
    <row r="64" spans="1:2" x14ac:dyDescent="0.2">
      <c r="A64" s="191" t="s">
        <v>306</v>
      </c>
      <c r="B64" s="191" t="s">
        <v>1825</v>
      </c>
    </row>
    <row r="65" spans="1:2" x14ac:dyDescent="0.2">
      <c r="A65" s="191" t="s">
        <v>307</v>
      </c>
      <c r="B65" s="191" t="s">
        <v>1826</v>
      </c>
    </row>
    <row r="66" spans="1:2" x14ac:dyDescent="0.2">
      <c r="A66" s="191" t="s">
        <v>308</v>
      </c>
      <c r="B66" s="191" t="s">
        <v>1827</v>
      </c>
    </row>
    <row r="67" spans="1:2" x14ac:dyDescent="0.2">
      <c r="A67" s="191" t="s">
        <v>309</v>
      </c>
      <c r="B67" s="191" t="s">
        <v>1828</v>
      </c>
    </row>
    <row r="68" spans="1:2" x14ac:dyDescent="0.2">
      <c r="A68" s="191" t="s">
        <v>310</v>
      </c>
      <c r="B68" s="191" t="s">
        <v>1829</v>
      </c>
    </row>
    <row r="69" spans="1:2" x14ac:dyDescent="0.2">
      <c r="A69" s="191" t="s">
        <v>311</v>
      </c>
      <c r="B69" s="191" t="s">
        <v>1830</v>
      </c>
    </row>
    <row r="70" spans="1:2" x14ac:dyDescent="0.2">
      <c r="A70" s="191" t="s">
        <v>312</v>
      </c>
      <c r="B70" s="191" t="s">
        <v>1831</v>
      </c>
    </row>
    <row r="71" spans="1:2" x14ac:dyDescent="0.2">
      <c r="A71" s="191" t="s">
        <v>313</v>
      </c>
      <c r="B71" s="191" t="s">
        <v>1832</v>
      </c>
    </row>
    <row r="72" spans="1:2" x14ac:dyDescent="0.2">
      <c r="A72" s="191" t="s">
        <v>314</v>
      </c>
      <c r="B72" s="191" t="s">
        <v>1833</v>
      </c>
    </row>
    <row r="73" spans="1:2" x14ac:dyDescent="0.2">
      <c r="A73" s="191" t="s">
        <v>315</v>
      </c>
      <c r="B73" s="191" t="s">
        <v>1834</v>
      </c>
    </row>
    <row r="74" spans="1:2" x14ac:dyDescent="0.2">
      <c r="A74" s="191" t="s">
        <v>316</v>
      </c>
      <c r="B74" s="191" t="s">
        <v>1835</v>
      </c>
    </row>
    <row r="75" spans="1:2" x14ac:dyDescent="0.2">
      <c r="A75" s="191" t="s">
        <v>317</v>
      </c>
      <c r="B75" s="191" t="s">
        <v>1836</v>
      </c>
    </row>
    <row r="76" spans="1:2" x14ac:dyDescent="0.2">
      <c r="A76" s="191" t="s">
        <v>318</v>
      </c>
      <c r="B76" s="191" t="s">
        <v>1837</v>
      </c>
    </row>
    <row r="77" spans="1:2" x14ac:dyDescent="0.2">
      <c r="A77" s="191" t="s">
        <v>319</v>
      </c>
      <c r="B77" s="191" t="s">
        <v>1838</v>
      </c>
    </row>
    <row r="78" spans="1:2" x14ac:dyDescent="0.2">
      <c r="A78" s="191" t="s">
        <v>320</v>
      </c>
      <c r="B78" s="191" t="s">
        <v>1839</v>
      </c>
    </row>
    <row r="79" spans="1:2" x14ac:dyDescent="0.2">
      <c r="A79" s="191" t="s">
        <v>321</v>
      </c>
      <c r="B79" s="191" t="s">
        <v>1840</v>
      </c>
    </row>
    <row r="80" spans="1:2" x14ac:dyDescent="0.2">
      <c r="A80" s="191" t="s">
        <v>322</v>
      </c>
      <c r="B80" s="191" t="s">
        <v>1841</v>
      </c>
    </row>
    <row r="81" spans="1:2" x14ac:dyDescent="0.2">
      <c r="A81" s="191" t="s">
        <v>323</v>
      </c>
      <c r="B81" s="191" t="s">
        <v>1842</v>
      </c>
    </row>
    <row r="82" spans="1:2" x14ac:dyDescent="0.2">
      <c r="A82" s="191" t="s">
        <v>324</v>
      </c>
      <c r="B82" s="191" t="s">
        <v>1843</v>
      </c>
    </row>
    <row r="83" spans="1:2" x14ac:dyDescent="0.2">
      <c r="A83" s="191" t="s">
        <v>325</v>
      </c>
      <c r="B83" s="191" t="s">
        <v>1844</v>
      </c>
    </row>
    <row r="84" spans="1:2" x14ac:dyDescent="0.2">
      <c r="A84" s="191" t="s">
        <v>326</v>
      </c>
      <c r="B84" s="191" t="s">
        <v>1845</v>
      </c>
    </row>
    <row r="85" spans="1:2" x14ac:dyDescent="0.2">
      <c r="A85" s="191" t="s">
        <v>327</v>
      </c>
      <c r="B85" s="191" t="s">
        <v>1846</v>
      </c>
    </row>
    <row r="86" spans="1:2" x14ac:dyDescent="0.2">
      <c r="A86" s="191" t="s">
        <v>328</v>
      </c>
      <c r="B86" s="191" t="s">
        <v>1847</v>
      </c>
    </row>
    <row r="87" spans="1:2" x14ac:dyDescent="0.2">
      <c r="A87" s="191" t="s">
        <v>329</v>
      </c>
      <c r="B87" s="191" t="s">
        <v>1848</v>
      </c>
    </row>
    <row r="88" spans="1:2" x14ac:dyDescent="0.2">
      <c r="A88" s="191" t="s">
        <v>330</v>
      </c>
      <c r="B88" s="191" t="s">
        <v>1849</v>
      </c>
    </row>
    <row r="89" spans="1:2" x14ac:dyDescent="0.2">
      <c r="A89" s="191" t="s">
        <v>331</v>
      </c>
      <c r="B89" s="191" t="s">
        <v>1850</v>
      </c>
    </row>
    <row r="90" spans="1:2" x14ac:dyDescent="0.2">
      <c r="A90" s="191" t="s">
        <v>332</v>
      </c>
      <c r="B90" s="191" t="s">
        <v>1851</v>
      </c>
    </row>
    <row r="91" spans="1:2" x14ac:dyDescent="0.2">
      <c r="A91" s="191" t="s">
        <v>333</v>
      </c>
      <c r="B91" s="191" t="s">
        <v>1852</v>
      </c>
    </row>
    <row r="92" spans="1:2" x14ac:dyDescent="0.2">
      <c r="A92" s="191" t="s">
        <v>334</v>
      </c>
      <c r="B92" s="191" t="s">
        <v>1853</v>
      </c>
    </row>
    <row r="93" spans="1:2" x14ac:dyDescent="0.2">
      <c r="A93" s="191" t="s">
        <v>335</v>
      </c>
      <c r="B93" s="191" t="s">
        <v>1854</v>
      </c>
    </row>
    <row r="94" spans="1:2" x14ac:dyDescent="0.2">
      <c r="A94" s="191" t="s">
        <v>336</v>
      </c>
      <c r="B94" s="191" t="s">
        <v>1855</v>
      </c>
    </row>
    <row r="95" spans="1:2" x14ac:dyDescent="0.2">
      <c r="A95" s="191" t="s">
        <v>337</v>
      </c>
      <c r="B95" s="191" t="s">
        <v>1856</v>
      </c>
    </row>
    <row r="96" spans="1:2" x14ac:dyDescent="0.2">
      <c r="A96" s="191" t="s">
        <v>338</v>
      </c>
      <c r="B96" s="191" t="s">
        <v>1857</v>
      </c>
    </row>
    <row r="97" spans="1:2" x14ac:dyDescent="0.2">
      <c r="A97" s="191" t="s">
        <v>339</v>
      </c>
      <c r="B97" s="191" t="s">
        <v>1858</v>
      </c>
    </row>
    <row r="98" spans="1:2" x14ac:dyDescent="0.2">
      <c r="A98" s="191" t="s">
        <v>340</v>
      </c>
      <c r="B98" s="191" t="s">
        <v>1859</v>
      </c>
    </row>
    <row r="99" spans="1:2" x14ac:dyDescent="0.2">
      <c r="A99" s="191" t="s">
        <v>341</v>
      </c>
      <c r="B99" s="191" t="s">
        <v>1860</v>
      </c>
    </row>
    <row r="100" spans="1:2" x14ac:dyDescent="0.2">
      <c r="A100" s="191" t="s">
        <v>342</v>
      </c>
      <c r="B100" s="191" t="s">
        <v>1861</v>
      </c>
    </row>
    <row r="101" spans="1:2" x14ac:dyDescent="0.2">
      <c r="A101" s="191" t="s">
        <v>343</v>
      </c>
      <c r="B101" s="191" t="s">
        <v>1862</v>
      </c>
    </row>
    <row r="102" spans="1:2" x14ac:dyDescent="0.2">
      <c r="A102" s="191" t="s">
        <v>344</v>
      </c>
      <c r="B102" s="191" t="s">
        <v>1863</v>
      </c>
    </row>
    <row r="103" spans="1:2" x14ac:dyDescent="0.2">
      <c r="A103" s="191" t="s">
        <v>345</v>
      </c>
      <c r="B103" s="191" t="s">
        <v>1864</v>
      </c>
    </row>
    <row r="104" spans="1:2" x14ac:dyDescent="0.2">
      <c r="A104" s="191" t="s">
        <v>346</v>
      </c>
      <c r="B104" s="191" t="s">
        <v>1865</v>
      </c>
    </row>
    <row r="105" spans="1:2" x14ac:dyDescent="0.2">
      <c r="A105" s="191" t="s">
        <v>347</v>
      </c>
      <c r="B105" s="191" t="s">
        <v>1866</v>
      </c>
    </row>
    <row r="106" spans="1:2" x14ac:dyDescent="0.2">
      <c r="A106" s="191" t="s">
        <v>348</v>
      </c>
      <c r="B106" s="191" t="s">
        <v>1867</v>
      </c>
    </row>
    <row r="107" spans="1:2" x14ac:dyDescent="0.2">
      <c r="A107" s="191" t="s">
        <v>349</v>
      </c>
      <c r="B107" s="191" t="s">
        <v>1868</v>
      </c>
    </row>
    <row r="108" spans="1:2" x14ac:dyDescent="0.2">
      <c r="A108" s="191" t="s">
        <v>350</v>
      </c>
      <c r="B108" s="191" t="s">
        <v>1869</v>
      </c>
    </row>
    <row r="109" spans="1:2" x14ac:dyDescent="0.2">
      <c r="A109" s="191" t="s">
        <v>351</v>
      </c>
      <c r="B109" s="191" t="s">
        <v>1870</v>
      </c>
    </row>
    <row r="110" spans="1:2" x14ac:dyDescent="0.2">
      <c r="A110" s="191" t="s">
        <v>352</v>
      </c>
      <c r="B110" s="191" t="s">
        <v>1871</v>
      </c>
    </row>
    <row r="111" spans="1:2" x14ac:dyDescent="0.2">
      <c r="A111" s="191" t="s">
        <v>353</v>
      </c>
      <c r="B111" s="191" t="s">
        <v>1872</v>
      </c>
    </row>
    <row r="112" spans="1:2" x14ac:dyDescent="0.2">
      <c r="A112" s="191" t="s">
        <v>354</v>
      </c>
      <c r="B112" s="191" t="s">
        <v>1873</v>
      </c>
    </row>
    <row r="113" spans="1:2" x14ac:dyDescent="0.2">
      <c r="A113" s="191" t="s">
        <v>355</v>
      </c>
      <c r="B113" s="191" t="s">
        <v>1874</v>
      </c>
    </row>
    <row r="114" spans="1:2" x14ac:dyDescent="0.2">
      <c r="A114" s="191" t="s">
        <v>356</v>
      </c>
      <c r="B114" s="191" t="s">
        <v>1875</v>
      </c>
    </row>
    <row r="115" spans="1:2" x14ac:dyDescent="0.2">
      <c r="A115" s="191" t="s">
        <v>357</v>
      </c>
      <c r="B115" s="191" t="s">
        <v>1876</v>
      </c>
    </row>
    <row r="116" spans="1:2" x14ac:dyDescent="0.2">
      <c r="A116" s="191" t="s">
        <v>358</v>
      </c>
      <c r="B116" s="191" t="s">
        <v>1877</v>
      </c>
    </row>
    <row r="117" spans="1:2" x14ac:dyDescent="0.2">
      <c r="A117" s="191" t="s">
        <v>359</v>
      </c>
      <c r="B117" s="191" t="s">
        <v>1878</v>
      </c>
    </row>
    <row r="118" spans="1:2" x14ac:dyDescent="0.2">
      <c r="A118" s="191" t="s">
        <v>360</v>
      </c>
      <c r="B118" s="191" t="s">
        <v>1879</v>
      </c>
    </row>
    <row r="119" spans="1:2" x14ac:dyDescent="0.2">
      <c r="A119" s="191" t="s">
        <v>361</v>
      </c>
      <c r="B119" s="191" t="s">
        <v>1880</v>
      </c>
    </row>
    <row r="120" spans="1:2" x14ac:dyDescent="0.2">
      <c r="A120" s="191" t="s">
        <v>362</v>
      </c>
      <c r="B120" s="191" t="s">
        <v>1881</v>
      </c>
    </row>
    <row r="121" spans="1:2" x14ac:dyDescent="0.2">
      <c r="A121" s="191" t="s">
        <v>363</v>
      </c>
      <c r="B121" s="191" t="s">
        <v>1882</v>
      </c>
    </row>
    <row r="122" spans="1:2" x14ac:dyDescent="0.2">
      <c r="A122" s="191" t="s">
        <v>364</v>
      </c>
      <c r="B122" s="191" t="s">
        <v>1883</v>
      </c>
    </row>
    <row r="123" spans="1:2" x14ac:dyDescent="0.2">
      <c r="A123" s="191" t="s">
        <v>365</v>
      </c>
      <c r="B123" s="191" t="s">
        <v>1884</v>
      </c>
    </row>
    <row r="124" spans="1:2" x14ac:dyDescent="0.2">
      <c r="A124" s="191" t="s">
        <v>366</v>
      </c>
      <c r="B124" s="191" t="s">
        <v>1885</v>
      </c>
    </row>
    <row r="125" spans="1:2" x14ac:dyDescent="0.2">
      <c r="A125" s="191" t="s">
        <v>367</v>
      </c>
      <c r="B125" s="191" t="s">
        <v>1886</v>
      </c>
    </row>
    <row r="126" spans="1:2" x14ac:dyDescent="0.2">
      <c r="A126" s="191" t="s">
        <v>368</v>
      </c>
      <c r="B126" s="191" t="s">
        <v>1887</v>
      </c>
    </row>
    <row r="127" spans="1:2" x14ac:dyDescent="0.2">
      <c r="A127" s="191" t="s">
        <v>369</v>
      </c>
      <c r="B127" s="191" t="s">
        <v>1888</v>
      </c>
    </row>
    <row r="128" spans="1:2" x14ac:dyDescent="0.2">
      <c r="A128" s="191" t="s">
        <v>370</v>
      </c>
      <c r="B128" s="191" t="s">
        <v>1889</v>
      </c>
    </row>
    <row r="129" spans="1:2" x14ac:dyDescent="0.2">
      <c r="A129" s="191" t="s">
        <v>371</v>
      </c>
      <c r="B129" s="191" t="s">
        <v>1890</v>
      </c>
    </row>
    <row r="130" spans="1:2" x14ac:dyDescent="0.2">
      <c r="A130" s="191" t="s">
        <v>372</v>
      </c>
      <c r="B130" s="191" t="s">
        <v>1891</v>
      </c>
    </row>
    <row r="131" spans="1:2" x14ac:dyDescent="0.2">
      <c r="A131" s="191" t="s">
        <v>373</v>
      </c>
      <c r="B131" s="191" t="s">
        <v>1892</v>
      </c>
    </row>
    <row r="132" spans="1:2" x14ac:dyDescent="0.2">
      <c r="A132" s="191" t="s">
        <v>374</v>
      </c>
      <c r="B132" s="191" t="s">
        <v>1893</v>
      </c>
    </row>
    <row r="133" spans="1:2" x14ac:dyDescent="0.2">
      <c r="A133" s="191" t="s">
        <v>375</v>
      </c>
      <c r="B133" s="191" t="s">
        <v>1894</v>
      </c>
    </row>
    <row r="134" spans="1:2" x14ac:dyDescent="0.2">
      <c r="A134" s="191" t="s">
        <v>376</v>
      </c>
      <c r="B134" s="191" t="s">
        <v>1895</v>
      </c>
    </row>
    <row r="135" spans="1:2" x14ac:dyDescent="0.2">
      <c r="A135" s="191" t="s">
        <v>377</v>
      </c>
      <c r="B135" s="191" t="s">
        <v>1896</v>
      </c>
    </row>
    <row r="136" spans="1:2" x14ac:dyDescent="0.2">
      <c r="A136" s="191" t="s">
        <v>378</v>
      </c>
      <c r="B136" s="191" t="s">
        <v>1897</v>
      </c>
    </row>
    <row r="137" spans="1:2" x14ac:dyDescent="0.2">
      <c r="A137" s="191" t="s">
        <v>379</v>
      </c>
      <c r="B137" s="191" t="s">
        <v>1898</v>
      </c>
    </row>
    <row r="138" spans="1:2" x14ac:dyDescent="0.2">
      <c r="A138" s="191" t="s">
        <v>380</v>
      </c>
      <c r="B138" s="191" t="s">
        <v>1899</v>
      </c>
    </row>
    <row r="139" spans="1:2" x14ac:dyDescent="0.2">
      <c r="A139" s="191" t="s">
        <v>381</v>
      </c>
      <c r="B139" s="191" t="s">
        <v>1900</v>
      </c>
    </row>
    <row r="140" spans="1:2" x14ac:dyDescent="0.2">
      <c r="A140" s="191" t="s">
        <v>382</v>
      </c>
      <c r="B140" s="191" t="s">
        <v>1901</v>
      </c>
    </row>
    <row r="141" spans="1:2" x14ac:dyDescent="0.2">
      <c r="A141" s="191" t="s">
        <v>383</v>
      </c>
      <c r="B141" s="191" t="s">
        <v>1902</v>
      </c>
    </row>
    <row r="142" spans="1:2" x14ac:dyDescent="0.2">
      <c r="A142" s="191" t="s">
        <v>384</v>
      </c>
      <c r="B142" s="191" t="s">
        <v>1903</v>
      </c>
    </row>
    <row r="143" spans="1:2" x14ac:dyDescent="0.2">
      <c r="A143" s="191" t="s">
        <v>385</v>
      </c>
      <c r="B143" s="191" t="s">
        <v>1904</v>
      </c>
    </row>
    <row r="144" spans="1:2" x14ac:dyDescent="0.2">
      <c r="A144" s="191" t="s">
        <v>386</v>
      </c>
      <c r="B144" s="191" t="s">
        <v>1905</v>
      </c>
    </row>
    <row r="145" spans="1:2" x14ac:dyDescent="0.2">
      <c r="A145" s="191" t="s">
        <v>387</v>
      </c>
      <c r="B145" s="191" t="s">
        <v>1906</v>
      </c>
    </row>
    <row r="146" spans="1:2" x14ac:dyDescent="0.2">
      <c r="A146" s="191" t="s">
        <v>388</v>
      </c>
      <c r="B146" s="191" t="s">
        <v>1907</v>
      </c>
    </row>
    <row r="147" spans="1:2" x14ac:dyDescent="0.2">
      <c r="A147" s="191" t="s">
        <v>389</v>
      </c>
      <c r="B147" s="191" t="s">
        <v>1908</v>
      </c>
    </row>
    <row r="148" spans="1:2" x14ac:dyDescent="0.2">
      <c r="A148" s="191" t="s">
        <v>390</v>
      </c>
      <c r="B148" s="191" t="s">
        <v>1909</v>
      </c>
    </row>
    <row r="149" spans="1:2" x14ac:dyDescent="0.2">
      <c r="A149" s="191" t="s">
        <v>391</v>
      </c>
      <c r="B149" s="191" t="s">
        <v>1910</v>
      </c>
    </row>
    <row r="150" spans="1:2" x14ac:dyDescent="0.2">
      <c r="A150" s="191" t="s">
        <v>392</v>
      </c>
      <c r="B150" s="191" t="s">
        <v>1911</v>
      </c>
    </row>
    <row r="151" spans="1:2" x14ac:dyDescent="0.2">
      <c r="A151" s="191" t="s">
        <v>393</v>
      </c>
      <c r="B151" s="191" t="s">
        <v>1912</v>
      </c>
    </row>
    <row r="152" spans="1:2" x14ac:dyDescent="0.2">
      <c r="A152" s="191" t="s">
        <v>394</v>
      </c>
      <c r="B152" s="191" t="s">
        <v>1913</v>
      </c>
    </row>
    <row r="153" spans="1:2" x14ac:dyDescent="0.2">
      <c r="A153" s="191" t="s">
        <v>395</v>
      </c>
      <c r="B153" s="191" t="s">
        <v>1914</v>
      </c>
    </row>
    <row r="154" spans="1:2" x14ac:dyDescent="0.2">
      <c r="A154" s="191" t="s">
        <v>396</v>
      </c>
      <c r="B154" s="191" t="s">
        <v>1915</v>
      </c>
    </row>
    <row r="155" spans="1:2" x14ac:dyDescent="0.2">
      <c r="A155" s="191" t="s">
        <v>397</v>
      </c>
      <c r="B155" s="191" t="s">
        <v>1916</v>
      </c>
    </row>
    <row r="156" spans="1:2" x14ac:dyDescent="0.2">
      <c r="A156" s="191" t="s">
        <v>398</v>
      </c>
      <c r="B156" s="191" t="s">
        <v>1917</v>
      </c>
    </row>
    <row r="157" spans="1:2" x14ac:dyDescent="0.2">
      <c r="A157" s="191" t="s">
        <v>399</v>
      </c>
      <c r="B157" s="191" t="s">
        <v>1918</v>
      </c>
    </row>
    <row r="158" spans="1:2" x14ac:dyDescent="0.2">
      <c r="A158" s="191" t="s">
        <v>400</v>
      </c>
      <c r="B158" s="191" t="s">
        <v>1919</v>
      </c>
    </row>
    <row r="159" spans="1:2" x14ac:dyDescent="0.2">
      <c r="A159" s="191" t="s">
        <v>401</v>
      </c>
      <c r="B159" s="191" t="s">
        <v>1920</v>
      </c>
    </row>
    <row r="160" spans="1:2" x14ac:dyDescent="0.2">
      <c r="A160" s="191" t="s">
        <v>402</v>
      </c>
      <c r="B160" s="191" t="s">
        <v>1921</v>
      </c>
    </row>
    <row r="161" spans="1:2" x14ac:dyDescent="0.2">
      <c r="A161" s="191" t="s">
        <v>403</v>
      </c>
      <c r="B161" s="191" t="s">
        <v>1922</v>
      </c>
    </row>
    <row r="162" spans="1:2" x14ac:dyDescent="0.2">
      <c r="A162" s="191" t="s">
        <v>404</v>
      </c>
      <c r="B162" s="191" t="s">
        <v>1923</v>
      </c>
    </row>
    <row r="163" spans="1:2" x14ac:dyDescent="0.2">
      <c r="A163" s="191" t="s">
        <v>405</v>
      </c>
      <c r="B163" s="191" t="s">
        <v>1924</v>
      </c>
    </row>
    <row r="164" spans="1:2" x14ac:dyDescent="0.2">
      <c r="A164" s="191" t="s">
        <v>406</v>
      </c>
      <c r="B164" s="191" t="s">
        <v>1925</v>
      </c>
    </row>
    <row r="165" spans="1:2" x14ac:dyDescent="0.2">
      <c r="A165" s="191" t="s">
        <v>407</v>
      </c>
      <c r="B165" s="191" t="s">
        <v>1926</v>
      </c>
    </row>
    <row r="166" spans="1:2" x14ac:dyDescent="0.2">
      <c r="A166" s="191" t="s">
        <v>408</v>
      </c>
      <c r="B166" s="191" t="s">
        <v>1927</v>
      </c>
    </row>
    <row r="167" spans="1:2" x14ac:dyDescent="0.2">
      <c r="A167" s="191" t="s">
        <v>409</v>
      </c>
      <c r="B167" s="191" t="s">
        <v>1928</v>
      </c>
    </row>
    <row r="168" spans="1:2" x14ac:dyDescent="0.2">
      <c r="A168" s="191" t="s">
        <v>410</v>
      </c>
      <c r="B168" s="191" t="s">
        <v>1929</v>
      </c>
    </row>
    <row r="169" spans="1:2" x14ac:dyDescent="0.2">
      <c r="A169" s="191" t="s">
        <v>411</v>
      </c>
      <c r="B169" s="191" t="s">
        <v>1930</v>
      </c>
    </row>
    <row r="170" spans="1:2" x14ac:dyDescent="0.2">
      <c r="A170" s="191" t="s">
        <v>412</v>
      </c>
      <c r="B170" s="191" t="s">
        <v>1931</v>
      </c>
    </row>
    <row r="171" spans="1:2" x14ac:dyDescent="0.2">
      <c r="A171" s="191" t="s">
        <v>413</v>
      </c>
      <c r="B171" s="191" t="s">
        <v>1932</v>
      </c>
    </row>
    <row r="172" spans="1:2" x14ac:dyDescent="0.2">
      <c r="A172" s="191" t="s">
        <v>414</v>
      </c>
      <c r="B172" s="191" t="s">
        <v>1933</v>
      </c>
    </row>
    <row r="173" spans="1:2" x14ac:dyDescent="0.2">
      <c r="A173" s="191" t="s">
        <v>415</v>
      </c>
      <c r="B173" s="191" t="s">
        <v>1934</v>
      </c>
    </row>
    <row r="174" spans="1:2" x14ac:dyDescent="0.2">
      <c r="A174" s="191" t="s">
        <v>416</v>
      </c>
      <c r="B174" s="191" t="s">
        <v>1935</v>
      </c>
    </row>
    <row r="175" spans="1:2" x14ac:dyDescent="0.2">
      <c r="A175" s="191" t="s">
        <v>417</v>
      </c>
      <c r="B175" s="191" t="s">
        <v>1936</v>
      </c>
    </row>
    <row r="176" spans="1:2" x14ac:dyDescent="0.2">
      <c r="A176" s="191" t="s">
        <v>418</v>
      </c>
      <c r="B176" s="191" t="s">
        <v>1937</v>
      </c>
    </row>
    <row r="177" spans="1:2" x14ac:dyDescent="0.2">
      <c r="A177" s="191" t="s">
        <v>419</v>
      </c>
      <c r="B177" s="191" t="s">
        <v>1938</v>
      </c>
    </row>
    <row r="178" spans="1:2" x14ac:dyDescent="0.2">
      <c r="A178" s="191" t="s">
        <v>420</v>
      </c>
      <c r="B178" s="191" t="s">
        <v>1939</v>
      </c>
    </row>
    <row r="179" spans="1:2" x14ac:dyDescent="0.2">
      <c r="A179" s="191" t="s">
        <v>421</v>
      </c>
      <c r="B179" s="191" t="s">
        <v>1940</v>
      </c>
    </row>
    <row r="180" spans="1:2" x14ac:dyDescent="0.2">
      <c r="A180" s="191" t="s">
        <v>422</v>
      </c>
      <c r="B180" s="191" t="s">
        <v>1941</v>
      </c>
    </row>
    <row r="181" spans="1:2" x14ac:dyDescent="0.2">
      <c r="A181" s="191" t="s">
        <v>423</v>
      </c>
      <c r="B181" s="191" t="s">
        <v>1942</v>
      </c>
    </row>
    <row r="182" spans="1:2" x14ac:dyDescent="0.2">
      <c r="A182" s="191" t="s">
        <v>424</v>
      </c>
      <c r="B182" s="191" t="s">
        <v>1943</v>
      </c>
    </row>
    <row r="183" spans="1:2" x14ac:dyDescent="0.2">
      <c r="A183" s="191" t="s">
        <v>425</v>
      </c>
      <c r="B183" s="191" t="s">
        <v>1944</v>
      </c>
    </row>
    <row r="184" spans="1:2" x14ac:dyDescent="0.2">
      <c r="A184" s="191" t="s">
        <v>426</v>
      </c>
      <c r="B184" s="191" t="s">
        <v>1945</v>
      </c>
    </row>
    <row r="185" spans="1:2" x14ac:dyDescent="0.2">
      <c r="A185" s="191" t="s">
        <v>427</v>
      </c>
      <c r="B185" s="191" t="s">
        <v>1946</v>
      </c>
    </row>
    <row r="186" spans="1:2" x14ac:dyDescent="0.2">
      <c r="A186" s="191" t="s">
        <v>428</v>
      </c>
      <c r="B186" s="191" t="s">
        <v>1947</v>
      </c>
    </row>
    <row r="187" spans="1:2" x14ac:dyDescent="0.2">
      <c r="A187" s="191" t="s">
        <v>429</v>
      </c>
      <c r="B187" s="191" t="s">
        <v>1948</v>
      </c>
    </row>
    <row r="188" spans="1:2" x14ac:dyDescent="0.2">
      <c r="A188" s="191" t="s">
        <v>430</v>
      </c>
      <c r="B188" s="191" t="s">
        <v>1949</v>
      </c>
    </row>
    <row r="189" spans="1:2" x14ac:dyDescent="0.2">
      <c r="A189" s="191" t="s">
        <v>431</v>
      </c>
      <c r="B189" s="191" t="s">
        <v>1950</v>
      </c>
    </row>
    <row r="190" spans="1:2" x14ac:dyDescent="0.2">
      <c r="A190" s="191" t="s">
        <v>432</v>
      </c>
      <c r="B190" s="191" t="s">
        <v>1951</v>
      </c>
    </row>
    <row r="191" spans="1:2" x14ac:dyDescent="0.2">
      <c r="A191" s="191" t="s">
        <v>433</v>
      </c>
      <c r="B191" s="191" t="s">
        <v>1952</v>
      </c>
    </row>
    <row r="192" spans="1:2" x14ac:dyDescent="0.2">
      <c r="A192" s="191" t="s">
        <v>434</v>
      </c>
      <c r="B192" s="191" t="s">
        <v>1953</v>
      </c>
    </row>
    <row r="193" spans="1:2" x14ac:dyDescent="0.2">
      <c r="A193" s="191" t="s">
        <v>435</v>
      </c>
      <c r="B193" s="191" t="s">
        <v>1954</v>
      </c>
    </row>
    <row r="194" spans="1:2" x14ac:dyDescent="0.2">
      <c r="A194" s="191" t="s">
        <v>436</v>
      </c>
      <c r="B194" s="191" t="s">
        <v>1955</v>
      </c>
    </row>
    <row r="195" spans="1:2" x14ac:dyDescent="0.2">
      <c r="A195" s="191" t="s">
        <v>437</v>
      </c>
      <c r="B195" s="191" t="s">
        <v>1956</v>
      </c>
    </row>
    <row r="196" spans="1:2" x14ac:dyDescent="0.2">
      <c r="A196" s="191" t="s">
        <v>438</v>
      </c>
      <c r="B196" s="191" t="s">
        <v>1957</v>
      </c>
    </row>
    <row r="197" spans="1:2" x14ac:dyDescent="0.2">
      <c r="A197" s="191" t="s">
        <v>439</v>
      </c>
      <c r="B197" s="191" t="s">
        <v>1958</v>
      </c>
    </row>
    <row r="198" spans="1:2" x14ac:dyDescent="0.2">
      <c r="A198" s="191" t="s">
        <v>440</v>
      </c>
      <c r="B198" s="191" t="s">
        <v>1959</v>
      </c>
    </row>
    <row r="199" spans="1:2" x14ac:dyDescent="0.2">
      <c r="A199" s="191" t="s">
        <v>441</v>
      </c>
      <c r="B199" s="191" t="s">
        <v>1960</v>
      </c>
    </row>
    <row r="200" spans="1:2" x14ac:dyDescent="0.2">
      <c r="A200" s="191" t="s">
        <v>442</v>
      </c>
      <c r="B200" s="191" t="s">
        <v>1961</v>
      </c>
    </row>
    <row r="201" spans="1:2" x14ac:dyDescent="0.2">
      <c r="A201" s="191" t="s">
        <v>443</v>
      </c>
      <c r="B201" s="191" t="s">
        <v>1962</v>
      </c>
    </row>
    <row r="202" spans="1:2" x14ac:dyDescent="0.2">
      <c r="A202" s="191" t="s">
        <v>444</v>
      </c>
      <c r="B202" s="191" t="s">
        <v>1963</v>
      </c>
    </row>
    <row r="203" spans="1:2" x14ac:dyDescent="0.2">
      <c r="A203" s="191" t="s">
        <v>445</v>
      </c>
      <c r="B203" s="191" t="s">
        <v>1964</v>
      </c>
    </row>
    <row r="204" spans="1:2" x14ac:dyDescent="0.2">
      <c r="A204" s="191" t="s">
        <v>446</v>
      </c>
      <c r="B204" s="191" t="s">
        <v>1965</v>
      </c>
    </row>
    <row r="205" spans="1:2" x14ac:dyDescent="0.2">
      <c r="A205" s="191" t="s">
        <v>447</v>
      </c>
      <c r="B205" s="191" t="s">
        <v>1966</v>
      </c>
    </row>
    <row r="206" spans="1:2" x14ac:dyDescent="0.2">
      <c r="A206" s="191" t="s">
        <v>448</v>
      </c>
      <c r="B206" s="191" t="s">
        <v>1967</v>
      </c>
    </row>
    <row r="207" spans="1:2" x14ac:dyDescent="0.2">
      <c r="A207" s="191" t="s">
        <v>449</v>
      </c>
      <c r="B207" s="191" t="s">
        <v>1968</v>
      </c>
    </row>
    <row r="208" spans="1:2" x14ac:dyDescent="0.2">
      <c r="A208" s="191" t="s">
        <v>450</v>
      </c>
      <c r="B208" s="191" t="s">
        <v>1969</v>
      </c>
    </row>
    <row r="209" spans="1:2" x14ac:dyDescent="0.2">
      <c r="A209" s="191" t="s">
        <v>451</v>
      </c>
      <c r="B209" s="191" t="s">
        <v>1970</v>
      </c>
    </row>
    <row r="210" spans="1:2" x14ac:dyDescent="0.2">
      <c r="A210" s="191" t="s">
        <v>452</v>
      </c>
      <c r="B210" s="191" t="s">
        <v>1971</v>
      </c>
    </row>
    <row r="211" spans="1:2" x14ac:dyDescent="0.2">
      <c r="A211" s="191" t="s">
        <v>453</v>
      </c>
      <c r="B211" s="191" t="s">
        <v>1972</v>
      </c>
    </row>
    <row r="212" spans="1:2" x14ac:dyDescent="0.2">
      <c r="A212" s="191" t="s">
        <v>454</v>
      </c>
      <c r="B212" s="191" t="s">
        <v>1973</v>
      </c>
    </row>
    <row r="213" spans="1:2" x14ac:dyDescent="0.2">
      <c r="A213" s="191" t="s">
        <v>455</v>
      </c>
      <c r="B213" s="191" t="s">
        <v>1974</v>
      </c>
    </row>
    <row r="214" spans="1:2" x14ac:dyDescent="0.2">
      <c r="A214" s="191" t="s">
        <v>456</v>
      </c>
      <c r="B214" s="191" t="s">
        <v>1975</v>
      </c>
    </row>
    <row r="215" spans="1:2" x14ac:dyDescent="0.2">
      <c r="A215" s="191" t="s">
        <v>457</v>
      </c>
      <c r="B215" s="191" t="s">
        <v>1976</v>
      </c>
    </row>
    <row r="216" spans="1:2" x14ac:dyDescent="0.2">
      <c r="A216" s="191" t="s">
        <v>458</v>
      </c>
      <c r="B216" s="191" t="s">
        <v>1977</v>
      </c>
    </row>
    <row r="217" spans="1:2" x14ac:dyDescent="0.2">
      <c r="A217" s="191" t="s">
        <v>459</v>
      </c>
      <c r="B217" s="191" t="s">
        <v>1963</v>
      </c>
    </row>
    <row r="218" spans="1:2" x14ac:dyDescent="0.2">
      <c r="A218" s="191" t="s">
        <v>460</v>
      </c>
      <c r="B218" s="191" t="s">
        <v>1978</v>
      </c>
    </row>
    <row r="219" spans="1:2" x14ac:dyDescent="0.2">
      <c r="A219" s="191" t="s">
        <v>461</v>
      </c>
      <c r="B219" s="191" t="s">
        <v>1979</v>
      </c>
    </row>
    <row r="220" spans="1:2" x14ac:dyDescent="0.2">
      <c r="A220" s="191" t="s">
        <v>462</v>
      </c>
      <c r="B220" s="191" t="s">
        <v>1980</v>
      </c>
    </row>
    <row r="221" spans="1:2" x14ac:dyDescent="0.2">
      <c r="A221" s="191" t="s">
        <v>463</v>
      </c>
      <c r="B221" s="191" t="s">
        <v>1981</v>
      </c>
    </row>
    <row r="222" spans="1:2" x14ac:dyDescent="0.2">
      <c r="A222" s="191" t="s">
        <v>464</v>
      </c>
      <c r="B222" s="191" t="s">
        <v>1982</v>
      </c>
    </row>
    <row r="223" spans="1:2" x14ac:dyDescent="0.2">
      <c r="A223" s="191" t="s">
        <v>465</v>
      </c>
      <c r="B223" s="191" t="s">
        <v>1983</v>
      </c>
    </row>
    <row r="224" spans="1:2" x14ac:dyDescent="0.2">
      <c r="A224" s="191" t="s">
        <v>466</v>
      </c>
      <c r="B224" s="191" t="s">
        <v>1984</v>
      </c>
    </row>
    <row r="225" spans="1:2" x14ac:dyDescent="0.2">
      <c r="A225" s="191" t="s">
        <v>467</v>
      </c>
      <c r="B225" s="191" t="s">
        <v>1985</v>
      </c>
    </row>
    <row r="226" spans="1:2" x14ac:dyDescent="0.2">
      <c r="A226" s="191" t="s">
        <v>468</v>
      </c>
      <c r="B226" s="191" t="s">
        <v>1986</v>
      </c>
    </row>
    <row r="227" spans="1:2" x14ac:dyDescent="0.2">
      <c r="A227" s="191" t="s">
        <v>469</v>
      </c>
      <c r="B227" s="191" t="s">
        <v>1987</v>
      </c>
    </row>
    <row r="228" spans="1:2" x14ac:dyDescent="0.2">
      <c r="A228" s="191" t="s">
        <v>470</v>
      </c>
      <c r="B228" s="191" t="s">
        <v>1988</v>
      </c>
    </row>
    <row r="229" spans="1:2" x14ac:dyDescent="0.2">
      <c r="A229" s="191" t="s">
        <v>471</v>
      </c>
      <c r="B229" s="191" t="s">
        <v>1989</v>
      </c>
    </row>
    <row r="230" spans="1:2" x14ac:dyDescent="0.2">
      <c r="A230" s="191" t="s">
        <v>472</v>
      </c>
      <c r="B230" s="191" t="s">
        <v>1990</v>
      </c>
    </row>
    <row r="231" spans="1:2" x14ac:dyDescent="0.2">
      <c r="A231" s="191" t="s">
        <v>473</v>
      </c>
      <c r="B231" s="191" t="s">
        <v>1991</v>
      </c>
    </row>
    <row r="232" spans="1:2" x14ac:dyDescent="0.2">
      <c r="A232" s="191" t="s">
        <v>474</v>
      </c>
      <c r="B232" s="191" t="s">
        <v>1992</v>
      </c>
    </row>
    <row r="233" spans="1:2" x14ac:dyDescent="0.2">
      <c r="A233" s="191" t="s">
        <v>475</v>
      </c>
      <c r="B233" s="191" t="s">
        <v>1993</v>
      </c>
    </row>
    <row r="234" spans="1:2" x14ac:dyDescent="0.2">
      <c r="A234" s="191" t="s">
        <v>476</v>
      </c>
      <c r="B234" s="191" t="s">
        <v>1994</v>
      </c>
    </row>
    <row r="235" spans="1:2" x14ac:dyDescent="0.2">
      <c r="A235" s="191" t="s">
        <v>477</v>
      </c>
      <c r="B235" s="191" t="s">
        <v>1995</v>
      </c>
    </row>
    <row r="236" spans="1:2" x14ac:dyDescent="0.2">
      <c r="A236" s="191" t="s">
        <v>478</v>
      </c>
      <c r="B236" s="191" t="s">
        <v>1996</v>
      </c>
    </row>
    <row r="237" spans="1:2" x14ac:dyDescent="0.2">
      <c r="A237" s="191" t="s">
        <v>479</v>
      </c>
      <c r="B237" s="191" t="s">
        <v>1997</v>
      </c>
    </row>
    <row r="238" spans="1:2" x14ac:dyDescent="0.2">
      <c r="A238" s="191" t="s">
        <v>480</v>
      </c>
      <c r="B238" s="191" t="s">
        <v>1998</v>
      </c>
    </row>
    <row r="239" spans="1:2" x14ac:dyDescent="0.2">
      <c r="A239" s="191" t="s">
        <v>481</v>
      </c>
      <c r="B239" s="191" t="s">
        <v>1999</v>
      </c>
    </row>
    <row r="240" spans="1:2" x14ac:dyDescent="0.2">
      <c r="A240" s="191" t="s">
        <v>482</v>
      </c>
      <c r="B240" s="191" t="s">
        <v>2000</v>
      </c>
    </row>
    <row r="241" spans="1:2" x14ac:dyDescent="0.2">
      <c r="A241" s="191" t="s">
        <v>483</v>
      </c>
      <c r="B241" s="191" t="s">
        <v>2001</v>
      </c>
    </row>
    <row r="242" spans="1:2" x14ac:dyDescent="0.2">
      <c r="A242" s="191" t="s">
        <v>484</v>
      </c>
      <c r="B242" s="191" t="s">
        <v>2002</v>
      </c>
    </row>
    <row r="243" spans="1:2" x14ac:dyDescent="0.2">
      <c r="A243" s="191" t="s">
        <v>485</v>
      </c>
      <c r="B243" s="191" t="s">
        <v>2003</v>
      </c>
    </row>
    <row r="244" spans="1:2" x14ac:dyDescent="0.2">
      <c r="A244" s="191" t="s">
        <v>486</v>
      </c>
      <c r="B244" s="191" t="s">
        <v>2004</v>
      </c>
    </row>
    <row r="245" spans="1:2" x14ac:dyDescent="0.2">
      <c r="A245" s="191" t="s">
        <v>487</v>
      </c>
      <c r="B245" s="191" t="s">
        <v>2005</v>
      </c>
    </row>
    <row r="246" spans="1:2" x14ac:dyDescent="0.2">
      <c r="A246" s="191" t="s">
        <v>488</v>
      </c>
      <c r="B246" s="191" t="s">
        <v>2006</v>
      </c>
    </row>
    <row r="247" spans="1:2" x14ac:dyDescent="0.2">
      <c r="A247" s="191" t="s">
        <v>489</v>
      </c>
      <c r="B247" s="191" t="s">
        <v>2007</v>
      </c>
    </row>
    <row r="248" spans="1:2" x14ac:dyDescent="0.2">
      <c r="A248" s="191" t="s">
        <v>490</v>
      </c>
      <c r="B248" s="191" t="s">
        <v>2008</v>
      </c>
    </row>
    <row r="249" spans="1:2" x14ac:dyDescent="0.2">
      <c r="A249" s="191" t="s">
        <v>491</v>
      </c>
      <c r="B249" s="191" t="s">
        <v>2009</v>
      </c>
    </row>
    <row r="250" spans="1:2" x14ac:dyDescent="0.2">
      <c r="A250" s="191" t="s">
        <v>492</v>
      </c>
      <c r="B250" s="191" t="s">
        <v>2010</v>
      </c>
    </row>
    <row r="251" spans="1:2" x14ac:dyDescent="0.2">
      <c r="A251" s="191" t="s">
        <v>493</v>
      </c>
      <c r="B251" s="191" t="s">
        <v>2011</v>
      </c>
    </row>
    <row r="252" spans="1:2" x14ac:dyDescent="0.2">
      <c r="A252" s="191" t="s">
        <v>494</v>
      </c>
      <c r="B252" s="191" t="s">
        <v>2012</v>
      </c>
    </row>
    <row r="253" spans="1:2" x14ac:dyDescent="0.2">
      <c r="A253" s="191" t="s">
        <v>495</v>
      </c>
      <c r="B253" s="191" t="s">
        <v>2013</v>
      </c>
    </row>
    <row r="254" spans="1:2" x14ac:dyDescent="0.2">
      <c r="A254" s="191" t="s">
        <v>496</v>
      </c>
      <c r="B254" s="191" t="s">
        <v>2014</v>
      </c>
    </row>
    <row r="255" spans="1:2" x14ac:dyDescent="0.2">
      <c r="A255" s="191" t="s">
        <v>497</v>
      </c>
      <c r="B255" s="191" t="s">
        <v>2015</v>
      </c>
    </row>
    <row r="256" spans="1:2" x14ac:dyDescent="0.2">
      <c r="A256" s="191" t="s">
        <v>498</v>
      </c>
      <c r="B256" s="191" t="s">
        <v>2016</v>
      </c>
    </row>
    <row r="257" spans="1:2" x14ac:dyDescent="0.2">
      <c r="A257" s="191" t="s">
        <v>499</v>
      </c>
      <c r="B257" s="191" t="s">
        <v>2017</v>
      </c>
    </row>
    <row r="258" spans="1:2" x14ac:dyDescent="0.2">
      <c r="A258" s="191" t="s">
        <v>500</v>
      </c>
      <c r="B258" s="191" t="s">
        <v>2018</v>
      </c>
    </row>
    <row r="259" spans="1:2" x14ac:dyDescent="0.2">
      <c r="A259" s="191" t="s">
        <v>501</v>
      </c>
      <c r="B259" s="191" t="s">
        <v>2019</v>
      </c>
    </row>
    <row r="260" spans="1:2" x14ac:dyDescent="0.2">
      <c r="A260" s="191" t="s">
        <v>502</v>
      </c>
      <c r="B260" s="191" t="s">
        <v>2020</v>
      </c>
    </row>
    <row r="261" spans="1:2" x14ac:dyDescent="0.2">
      <c r="A261" s="191" t="s">
        <v>503</v>
      </c>
      <c r="B261" s="191" t="s">
        <v>2021</v>
      </c>
    </row>
    <row r="262" spans="1:2" x14ac:dyDescent="0.2">
      <c r="A262" s="191" t="s">
        <v>504</v>
      </c>
      <c r="B262" s="191" t="s">
        <v>2022</v>
      </c>
    </row>
    <row r="263" spans="1:2" x14ac:dyDescent="0.2">
      <c r="A263" s="191" t="s">
        <v>505</v>
      </c>
      <c r="B263" s="191" t="s">
        <v>2023</v>
      </c>
    </row>
    <row r="264" spans="1:2" x14ac:dyDescent="0.2">
      <c r="A264" s="191" t="s">
        <v>506</v>
      </c>
      <c r="B264" s="191" t="s">
        <v>2024</v>
      </c>
    </row>
    <row r="265" spans="1:2" x14ac:dyDescent="0.2">
      <c r="A265" s="191" t="s">
        <v>507</v>
      </c>
      <c r="B265" s="191" t="s">
        <v>2025</v>
      </c>
    </row>
    <row r="266" spans="1:2" x14ac:dyDescent="0.2">
      <c r="A266" s="191" t="s">
        <v>508</v>
      </c>
      <c r="B266" s="191" t="s">
        <v>2026</v>
      </c>
    </row>
    <row r="267" spans="1:2" x14ac:dyDescent="0.2">
      <c r="A267" s="191" t="s">
        <v>509</v>
      </c>
      <c r="B267" s="191" t="s">
        <v>2027</v>
      </c>
    </row>
    <row r="268" spans="1:2" x14ac:dyDescent="0.2">
      <c r="A268" s="191" t="s">
        <v>510</v>
      </c>
      <c r="B268" s="191" t="s">
        <v>2028</v>
      </c>
    </row>
    <row r="269" spans="1:2" x14ac:dyDescent="0.2">
      <c r="A269" s="191" t="s">
        <v>511</v>
      </c>
      <c r="B269" s="191" t="s">
        <v>1992</v>
      </c>
    </row>
    <row r="270" spans="1:2" x14ac:dyDescent="0.2">
      <c r="A270" s="191" t="s">
        <v>512</v>
      </c>
      <c r="B270" s="191" t="s">
        <v>2029</v>
      </c>
    </row>
    <row r="271" spans="1:2" x14ac:dyDescent="0.2">
      <c r="A271" s="191" t="s">
        <v>513</v>
      </c>
      <c r="B271" s="191" t="s">
        <v>2030</v>
      </c>
    </row>
    <row r="272" spans="1:2" x14ac:dyDescent="0.2">
      <c r="A272" s="191" t="s">
        <v>514</v>
      </c>
      <c r="B272" s="191" t="s">
        <v>2031</v>
      </c>
    </row>
    <row r="273" spans="1:2" x14ac:dyDescent="0.2">
      <c r="A273" s="191" t="s">
        <v>515</v>
      </c>
      <c r="B273" s="191" t="s">
        <v>2032</v>
      </c>
    </row>
    <row r="274" spans="1:2" x14ac:dyDescent="0.2">
      <c r="A274" s="191" t="s">
        <v>17</v>
      </c>
      <c r="B274" s="191" t="s">
        <v>2033</v>
      </c>
    </row>
    <row r="275" spans="1:2" x14ac:dyDescent="0.2">
      <c r="A275" s="191" t="s">
        <v>516</v>
      </c>
      <c r="B275" s="191" t="s">
        <v>2034</v>
      </c>
    </row>
    <row r="276" spans="1:2" x14ac:dyDescent="0.2">
      <c r="A276" s="191" t="s">
        <v>523</v>
      </c>
      <c r="B276" s="191" t="s">
        <v>2035</v>
      </c>
    </row>
    <row r="277" spans="1:2" x14ac:dyDescent="0.2">
      <c r="A277" s="191" t="s">
        <v>524</v>
      </c>
      <c r="B277" s="191" t="s">
        <v>2036</v>
      </c>
    </row>
    <row r="278" spans="1:2" x14ac:dyDescent="0.2">
      <c r="A278" s="191" t="s">
        <v>525</v>
      </c>
      <c r="B278" s="191" t="s">
        <v>2037</v>
      </c>
    </row>
    <row r="279" spans="1:2" x14ac:dyDescent="0.2">
      <c r="A279" s="191" t="s">
        <v>526</v>
      </c>
      <c r="B279" s="191" t="s">
        <v>2038</v>
      </c>
    </row>
    <row r="280" spans="1:2" x14ac:dyDescent="0.2">
      <c r="A280" s="191" t="s">
        <v>527</v>
      </c>
      <c r="B280" s="191" t="s">
        <v>2039</v>
      </c>
    </row>
    <row r="281" spans="1:2" x14ac:dyDescent="0.2">
      <c r="A281" s="191" t="s">
        <v>528</v>
      </c>
      <c r="B281" s="191" t="s">
        <v>2040</v>
      </c>
    </row>
    <row r="282" spans="1:2" x14ac:dyDescent="0.2">
      <c r="A282" s="191" t="s">
        <v>529</v>
      </c>
      <c r="B282" s="191" t="s">
        <v>2041</v>
      </c>
    </row>
    <row r="283" spans="1:2" x14ac:dyDescent="0.2">
      <c r="A283" s="191" t="s">
        <v>530</v>
      </c>
      <c r="B283" s="191" t="s">
        <v>2042</v>
      </c>
    </row>
    <row r="284" spans="1:2" x14ac:dyDescent="0.2">
      <c r="A284" s="191" t="s">
        <v>531</v>
      </c>
      <c r="B284" s="191" t="s">
        <v>2043</v>
      </c>
    </row>
    <row r="285" spans="1:2" x14ac:dyDescent="0.2">
      <c r="A285" s="191" t="s">
        <v>532</v>
      </c>
      <c r="B285" s="191" t="s">
        <v>2044</v>
      </c>
    </row>
    <row r="286" spans="1:2" x14ac:dyDescent="0.2">
      <c r="A286" s="191" t="s">
        <v>533</v>
      </c>
      <c r="B286" s="191" t="s">
        <v>2045</v>
      </c>
    </row>
    <row r="287" spans="1:2" x14ac:dyDescent="0.2">
      <c r="A287" s="191" t="s">
        <v>534</v>
      </c>
      <c r="B287" s="191" t="s">
        <v>2046</v>
      </c>
    </row>
    <row r="288" spans="1:2" x14ac:dyDescent="0.2">
      <c r="A288" s="191" t="s">
        <v>535</v>
      </c>
      <c r="B288" s="191" t="s">
        <v>2047</v>
      </c>
    </row>
    <row r="289" spans="1:2" x14ac:dyDescent="0.2">
      <c r="A289" s="191" t="s">
        <v>536</v>
      </c>
      <c r="B289" s="191" t="s">
        <v>2048</v>
      </c>
    </row>
    <row r="290" spans="1:2" x14ac:dyDescent="0.2">
      <c r="A290" s="191" t="s">
        <v>537</v>
      </c>
      <c r="B290" s="191" t="s">
        <v>2049</v>
      </c>
    </row>
    <row r="291" spans="1:2" x14ac:dyDescent="0.2">
      <c r="A291" s="191" t="s">
        <v>538</v>
      </c>
      <c r="B291" s="191" t="s">
        <v>2050</v>
      </c>
    </row>
    <row r="292" spans="1:2" x14ac:dyDescent="0.2">
      <c r="A292" s="191" t="s">
        <v>539</v>
      </c>
      <c r="B292" s="191" t="s">
        <v>2051</v>
      </c>
    </row>
    <row r="293" spans="1:2" x14ac:dyDescent="0.2">
      <c r="A293" s="191" t="s">
        <v>540</v>
      </c>
      <c r="B293" s="191" t="s">
        <v>2052</v>
      </c>
    </row>
    <row r="294" spans="1:2" x14ac:dyDescent="0.2">
      <c r="A294" s="191" t="s">
        <v>541</v>
      </c>
      <c r="B294" s="191" t="s">
        <v>2053</v>
      </c>
    </row>
    <row r="295" spans="1:2" x14ac:dyDescent="0.2">
      <c r="A295" s="191" t="s">
        <v>542</v>
      </c>
      <c r="B295" s="191" t="s">
        <v>2054</v>
      </c>
    </row>
    <row r="296" spans="1:2" x14ac:dyDescent="0.2">
      <c r="A296" s="191" t="s">
        <v>543</v>
      </c>
      <c r="B296" s="191" t="s">
        <v>2055</v>
      </c>
    </row>
    <row r="297" spans="1:2" x14ac:dyDescent="0.2">
      <c r="A297" s="191" t="s">
        <v>544</v>
      </c>
      <c r="B297" s="191" t="s">
        <v>2056</v>
      </c>
    </row>
    <row r="298" spans="1:2" x14ac:dyDescent="0.2">
      <c r="A298" s="191" t="s">
        <v>545</v>
      </c>
      <c r="B298" s="191" t="s">
        <v>1839</v>
      </c>
    </row>
    <row r="299" spans="1:2" x14ac:dyDescent="0.2">
      <c r="A299" s="191" t="s">
        <v>546</v>
      </c>
      <c r="B299" s="191" t="s">
        <v>2057</v>
      </c>
    </row>
    <row r="300" spans="1:2" x14ac:dyDescent="0.2">
      <c r="A300" s="191" t="s">
        <v>547</v>
      </c>
      <c r="B300" s="191" t="s">
        <v>2058</v>
      </c>
    </row>
    <row r="301" spans="1:2" x14ac:dyDescent="0.2">
      <c r="A301" s="191" t="s">
        <v>548</v>
      </c>
      <c r="B301" s="191" t="s">
        <v>2059</v>
      </c>
    </row>
    <row r="302" spans="1:2" x14ac:dyDescent="0.2">
      <c r="A302" s="191" t="s">
        <v>549</v>
      </c>
      <c r="B302" s="191" t="s">
        <v>2060</v>
      </c>
    </row>
    <row r="303" spans="1:2" x14ac:dyDescent="0.2">
      <c r="A303" s="191" t="s">
        <v>550</v>
      </c>
      <c r="B303" s="191" t="s">
        <v>2061</v>
      </c>
    </row>
    <row r="304" spans="1:2" x14ac:dyDescent="0.2">
      <c r="A304" s="191" t="s">
        <v>551</v>
      </c>
      <c r="B304" s="191" t="s">
        <v>1964</v>
      </c>
    </row>
    <row r="305" spans="1:2" x14ac:dyDescent="0.2">
      <c r="A305" s="191" t="s">
        <v>552</v>
      </c>
      <c r="B305" s="191" t="s">
        <v>2062</v>
      </c>
    </row>
    <row r="306" spans="1:2" x14ac:dyDescent="0.2">
      <c r="A306" s="191" t="s">
        <v>553</v>
      </c>
      <c r="B306" s="191" t="s">
        <v>2063</v>
      </c>
    </row>
    <row r="307" spans="1:2" x14ac:dyDescent="0.2">
      <c r="A307" s="191" t="s">
        <v>554</v>
      </c>
      <c r="B307" s="191" t="s">
        <v>2064</v>
      </c>
    </row>
    <row r="308" spans="1:2" x14ac:dyDescent="0.2">
      <c r="A308" s="191" t="s">
        <v>555</v>
      </c>
      <c r="B308" s="191" t="s">
        <v>2065</v>
      </c>
    </row>
    <row r="309" spans="1:2" x14ac:dyDescent="0.2">
      <c r="A309" s="191" t="s">
        <v>556</v>
      </c>
      <c r="B309" s="191" t="s">
        <v>2066</v>
      </c>
    </row>
    <row r="310" spans="1:2" x14ac:dyDescent="0.2">
      <c r="A310" s="191" t="s">
        <v>557</v>
      </c>
      <c r="B310" s="191" t="s">
        <v>2067</v>
      </c>
    </row>
    <row r="311" spans="1:2" x14ac:dyDescent="0.2">
      <c r="A311" s="191" t="s">
        <v>558</v>
      </c>
      <c r="B311" s="191" t="s">
        <v>2068</v>
      </c>
    </row>
    <row r="312" spans="1:2" x14ac:dyDescent="0.2">
      <c r="A312" s="191" t="s">
        <v>559</v>
      </c>
      <c r="B312" s="191" t="s">
        <v>2069</v>
      </c>
    </row>
    <row r="313" spans="1:2" x14ac:dyDescent="0.2">
      <c r="A313" s="191" t="s">
        <v>560</v>
      </c>
      <c r="B313" s="191" t="s">
        <v>2070</v>
      </c>
    </row>
    <row r="314" spans="1:2" x14ac:dyDescent="0.2">
      <c r="A314" s="191" t="s">
        <v>561</v>
      </c>
      <c r="B314" s="191" t="s">
        <v>2071</v>
      </c>
    </row>
    <row r="315" spans="1:2" x14ac:dyDescent="0.2">
      <c r="A315" s="191" t="s">
        <v>562</v>
      </c>
      <c r="B315" s="191" t="s">
        <v>2072</v>
      </c>
    </row>
    <row r="316" spans="1:2" x14ac:dyDescent="0.2">
      <c r="A316" s="191" t="s">
        <v>563</v>
      </c>
      <c r="B316" s="191" t="s">
        <v>2073</v>
      </c>
    </row>
    <row r="317" spans="1:2" x14ac:dyDescent="0.2">
      <c r="A317" s="191" t="s">
        <v>564</v>
      </c>
      <c r="B317" s="191" t="s">
        <v>2074</v>
      </c>
    </row>
    <row r="318" spans="1:2" x14ac:dyDescent="0.2">
      <c r="A318" s="191" t="s">
        <v>565</v>
      </c>
      <c r="B318" s="191" t="s">
        <v>2075</v>
      </c>
    </row>
    <row r="319" spans="1:2" x14ac:dyDescent="0.2">
      <c r="A319" s="191" t="s">
        <v>566</v>
      </c>
      <c r="B319" s="191" t="s">
        <v>2076</v>
      </c>
    </row>
    <row r="320" spans="1:2" x14ac:dyDescent="0.2">
      <c r="A320" s="191" t="s">
        <v>567</v>
      </c>
      <c r="B320" s="191" t="s">
        <v>2077</v>
      </c>
    </row>
    <row r="321" spans="1:2" x14ac:dyDescent="0.2">
      <c r="A321" s="191" t="s">
        <v>568</v>
      </c>
      <c r="B321" s="191" t="s">
        <v>2078</v>
      </c>
    </row>
    <row r="322" spans="1:2" x14ac:dyDescent="0.2">
      <c r="A322" s="191" t="s">
        <v>569</v>
      </c>
      <c r="B322" s="191" t="s">
        <v>2079</v>
      </c>
    </row>
    <row r="323" spans="1:2" x14ac:dyDescent="0.2">
      <c r="A323" s="191" t="s">
        <v>570</v>
      </c>
      <c r="B323" s="191" t="s">
        <v>2080</v>
      </c>
    </row>
    <row r="324" spans="1:2" x14ac:dyDescent="0.2">
      <c r="A324" s="191" t="s">
        <v>571</v>
      </c>
      <c r="B324" s="191" t="s">
        <v>2081</v>
      </c>
    </row>
    <row r="325" spans="1:2" x14ac:dyDescent="0.2">
      <c r="A325" s="191" t="s">
        <v>572</v>
      </c>
      <c r="B325" s="191" t="s">
        <v>2082</v>
      </c>
    </row>
    <row r="326" spans="1:2" x14ac:dyDescent="0.2">
      <c r="A326" s="191" t="s">
        <v>573</v>
      </c>
      <c r="B326" s="191" t="s">
        <v>2083</v>
      </c>
    </row>
    <row r="327" spans="1:2" x14ac:dyDescent="0.2">
      <c r="A327" s="191" t="s">
        <v>574</v>
      </c>
      <c r="B327" s="191" t="s">
        <v>2084</v>
      </c>
    </row>
    <row r="328" spans="1:2" x14ac:dyDescent="0.2">
      <c r="A328" s="191" t="s">
        <v>575</v>
      </c>
      <c r="B328" s="191" t="s">
        <v>2085</v>
      </c>
    </row>
    <row r="329" spans="1:2" x14ac:dyDescent="0.2">
      <c r="A329" s="191" t="s">
        <v>576</v>
      </c>
      <c r="B329" s="191" t="s">
        <v>2086</v>
      </c>
    </row>
    <row r="330" spans="1:2" x14ac:dyDescent="0.2">
      <c r="A330" s="191" t="s">
        <v>577</v>
      </c>
      <c r="B330" s="191" t="s">
        <v>2087</v>
      </c>
    </row>
    <row r="331" spans="1:2" x14ac:dyDescent="0.2">
      <c r="A331" s="191" t="s">
        <v>578</v>
      </c>
      <c r="B331" s="191" t="s">
        <v>2088</v>
      </c>
    </row>
    <row r="332" spans="1:2" x14ac:dyDescent="0.2">
      <c r="A332" s="191" t="s">
        <v>579</v>
      </c>
      <c r="B332" s="191" t="s">
        <v>2089</v>
      </c>
    </row>
    <row r="333" spans="1:2" x14ac:dyDescent="0.2">
      <c r="A333" s="191" t="s">
        <v>580</v>
      </c>
      <c r="B333" s="191" t="s">
        <v>2090</v>
      </c>
    </row>
    <row r="334" spans="1:2" x14ac:dyDescent="0.2">
      <c r="A334" s="191" t="s">
        <v>581</v>
      </c>
      <c r="B334" s="191" t="s">
        <v>2091</v>
      </c>
    </row>
    <row r="335" spans="1:2" x14ac:dyDescent="0.2">
      <c r="A335" s="191" t="s">
        <v>582</v>
      </c>
      <c r="B335" s="191" t="s">
        <v>2092</v>
      </c>
    </row>
    <row r="336" spans="1:2" x14ac:dyDescent="0.2">
      <c r="A336" s="191" t="s">
        <v>583</v>
      </c>
      <c r="B336" s="191" t="s">
        <v>2093</v>
      </c>
    </row>
    <row r="337" spans="1:2" x14ac:dyDescent="0.2">
      <c r="A337" s="191" t="s">
        <v>584</v>
      </c>
      <c r="B337" s="191" t="s">
        <v>2094</v>
      </c>
    </row>
    <row r="338" spans="1:2" x14ac:dyDescent="0.2">
      <c r="A338" s="191" t="s">
        <v>585</v>
      </c>
      <c r="B338" s="191" t="s">
        <v>2095</v>
      </c>
    </row>
    <row r="339" spans="1:2" x14ac:dyDescent="0.2">
      <c r="A339" s="191" t="s">
        <v>586</v>
      </c>
      <c r="B339" s="191" t="s">
        <v>2096</v>
      </c>
    </row>
    <row r="340" spans="1:2" x14ac:dyDescent="0.2">
      <c r="A340" s="191" t="s">
        <v>587</v>
      </c>
      <c r="B340" s="191" t="s">
        <v>2097</v>
      </c>
    </row>
    <row r="341" spans="1:2" x14ac:dyDescent="0.2">
      <c r="A341" s="191" t="s">
        <v>588</v>
      </c>
      <c r="B341" s="191" t="s">
        <v>2098</v>
      </c>
    </row>
    <row r="342" spans="1:2" x14ac:dyDescent="0.2">
      <c r="A342" s="191" t="s">
        <v>589</v>
      </c>
      <c r="B342" s="191" t="s">
        <v>2099</v>
      </c>
    </row>
    <row r="343" spans="1:2" x14ac:dyDescent="0.2">
      <c r="A343" s="191" t="s">
        <v>590</v>
      </c>
      <c r="B343" s="191" t="s">
        <v>2100</v>
      </c>
    </row>
    <row r="344" spans="1:2" x14ac:dyDescent="0.2">
      <c r="A344" s="191" t="s">
        <v>591</v>
      </c>
      <c r="B344" s="191" t="s">
        <v>2101</v>
      </c>
    </row>
    <row r="345" spans="1:2" x14ac:dyDescent="0.2">
      <c r="A345" s="191" t="s">
        <v>592</v>
      </c>
      <c r="B345" s="191" t="s">
        <v>2102</v>
      </c>
    </row>
    <row r="346" spans="1:2" x14ac:dyDescent="0.2">
      <c r="A346" s="191" t="s">
        <v>593</v>
      </c>
      <c r="B346" s="191" t="s">
        <v>2103</v>
      </c>
    </row>
    <row r="347" spans="1:2" x14ac:dyDescent="0.2">
      <c r="A347" s="191" t="s">
        <v>594</v>
      </c>
      <c r="B347" s="191" t="s">
        <v>2104</v>
      </c>
    </row>
    <row r="348" spans="1:2" x14ac:dyDescent="0.2">
      <c r="A348" s="191" t="s">
        <v>595</v>
      </c>
      <c r="B348" s="191" t="s">
        <v>2105</v>
      </c>
    </row>
    <row r="349" spans="1:2" x14ac:dyDescent="0.2">
      <c r="A349" s="191" t="s">
        <v>596</v>
      </c>
      <c r="B349" s="191" t="s">
        <v>2106</v>
      </c>
    </row>
    <row r="350" spans="1:2" x14ac:dyDescent="0.2">
      <c r="A350" s="191" t="s">
        <v>597</v>
      </c>
      <c r="B350" s="191" t="s">
        <v>2107</v>
      </c>
    </row>
    <row r="351" spans="1:2" x14ac:dyDescent="0.2">
      <c r="A351" s="191" t="s">
        <v>598</v>
      </c>
      <c r="B351" s="191" t="s">
        <v>2108</v>
      </c>
    </row>
    <row r="352" spans="1:2" x14ac:dyDescent="0.2">
      <c r="A352" s="191" t="s">
        <v>599</v>
      </c>
      <c r="B352" s="191" t="s">
        <v>2109</v>
      </c>
    </row>
    <row r="353" spans="1:2" x14ac:dyDescent="0.2">
      <c r="A353" s="191" t="s">
        <v>600</v>
      </c>
      <c r="B353" s="191" t="s">
        <v>2110</v>
      </c>
    </row>
    <row r="354" spans="1:2" x14ac:dyDescent="0.2">
      <c r="A354" s="191" t="s">
        <v>601</v>
      </c>
      <c r="B354" s="191" t="s">
        <v>2111</v>
      </c>
    </row>
    <row r="355" spans="1:2" x14ac:dyDescent="0.2">
      <c r="A355" s="191" t="s">
        <v>602</v>
      </c>
      <c r="B355" s="191" t="s">
        <v>2112</v>
      </c>
    </row>
    <row r="356" spans="1:2" x14ac:dyDescent="0.2">
      <c r="A356" s="191" t="s">
        <v>603</v>
      </c>
      <c r="B356" s="191" t="s">
        <v>2113</v>
      </c>
    </row>
    <row r="357" spans="1:2" x14ac:dyDescent="0.2">
      <c r="A357" s="191" t="s">
        <v>18</v>
      </c>
      <c r="B357" s="191" t="s">
        <v>2114</v>
      </c>
    </row>
    <row r="358" spans="1:2" x14ac:dyDescent="0.2">
      <c r="A358" s="191" t="s">
        <v>604</v>
      </c>
      <c r="B358" s="191" t="s">
        <v>2115</v>
      </c>
    </row>
    <row r="359" spans="1:2" x14ac:dyDescent="0.2">
      <c r="A359" s="191" t="s">
        <v>605</v>
      </c>
      <c r="B359" s="191" t="s">
        <v>2116</v>
      </c>
    </row>
    <row r="360" spans="1:2" x14ac:dyDescent="0.2">
      <c r="A360" s="191" t="s">
        <v>606</v>
      </c>
      <c r="B360" s="191" t="s">
        <v>2117</v>
      </c>
    </row>
    <row r="361" spans="1:2" x14ac:dyDescent="0.2">
      <c r="A361" s="191" t="s">
        <v>607</v>
      </c>
      <c r="B361" s="191" t="s">
        <v>2118</v>
      </c>
    </row>
    <row r="362" spans="1:2" x14ac:dyDescent="0.2">
      <c r="A362" s="191" t="s">
        <v>608</v>
      </c>
      <c r="B362" s="191" t="s">
        <v>2119</v>
      </c>
    </row>
    <row r="363" spans="1:2" x14ac:dyDescent="0.2">
      <c r="A363" s="191" t="s">
        <v>609</v>
      </c>
      <c r="B363" s="191" t="s">
        <v>2120</v>
      </c>
    </row>
    <row r="364" spans="1:2" x14ac:dyDescent="0.2">
      <c r="A364" s="191" t="s">
        <v>610</v>
      </c>
      <c r="B364" s="191" t="s">
        <v>2121</v>
      </c>
    </row>
    <row r="365" spans="1:2" x14ac:dyDescent="0.2">
      <c r="A365" s="191" t="s">
        <v>611</v>
      </c>
      <c r="B365" s="191" t="s">
        <v>2122</v>
      </c>
    </row>
    <row r="366" spans="1:2" x14ac:dyDescent="0.2">
      <c r="A366" s="191" t="s">
        <v>612</v>
      </c>
      <c r="B366" s="191" t="s">
        <v>2123</v>
      </c>
    </row>
    <row r="367" spans="1:2" x14ac:dyDescent="0.2">
      <c r="A367" s="191" t="s">
        <v>613</v>
      </c>
      <c r="B367" s="191" t="s">
        <v>2124</v>
      </c>
    </row>
    <row r="368" spans="1:2" x14ac:dyDescent="0.2">
      <c r="A368" s="191" t="s">
        <v>614</v>
      </c>
      <c r="B368" s="191" t="s">
        <v>2030</v>
      </c>
    </row>
    <row r="369" spans="1:2" x14ac:dyDescent="0.2">
      <c r="A369" s="191" t="s">
        <v>615</v>
      </c>
      <c r="B369" s="191" t="s">
        <v>2030</v>
      </c>
    </row>
    <row r="370" spans="1:2" x14ac:dyDescent="0.2">
      <c r="A370" s="191" t="s">
        <v>616</v>
      </c>
      <c r="B370" s="191" t="s">
        <v>2030</v>
      </c>
    </row>
    <row r="371" spans="1:2" x14ac:dyDescent="0.2">
      <c r="A371" s="191" t="s">
        <v>617</v>
      </c>
      <c r="B371" s="191" t="s">
        <v>2030</v>
      </c>
    </row>
    <row r="372" spans="1:2" x14ac:dyDescent="0.2">
      <c r="A372" s="191" t="s">
        <v>618</v>
      </c>
      <c r="B372" s="191" t="s">
        <v>2125</v>
      </c>
    </row>
    <row r="373" spans="1:2" x14ac:dyDescent="0.2">
      <c r="A373" s="191" t="s">
        <v>619</v>
      </c>
      <c r="B373" s="191" t="s">
        <v>2030</v>
      </c>
    </row>
    <row r="374" spans="1:2" x14ac:dyDescent="0.2">
      <c r="A374" s="191" t="s">
        <v>620</v>
      </c>
      <c r="B374" s="191" t="s">
        <v>2030</v>
      </c>
    </row>
    <row r="375" spans="1:2" x14ac:dyDescent="0.2">
      <c r="A375" s="191" t="s">
        <v>621</v>
      </c>
      <c r="B375" s="191" t="s">
        <v>2030</v>
      </c>
    </row>
    <row r="376" spans="1:2" x14ac:dyDescent="0.2">
      <c r="A376" s="191" t="s">
        <v>622</v>
      </c>
      <c r="B376" s="191" t="s">
        <v>2030</v>
      </c>
    </row>
    <row r="377" spans="1:2" x14ac:dyDescent="0.2">
      <c r="A377" s="191" t="s">
        <v>623</v>
      </c>
      <c r="B377" s="191" t="s">
        <v>2126</v>
      </c>
    </row>
    <row r="378" spans="1:2" x14ac:dyDescent="0.2">
      <c r="A378" s="191" t="s">
        <v>624</v>
      </c>
      <c r="B378" s="191" t="s">
        <v>2127</v>
      </c>
    </row>
    <row r="379" spans="1:2" x14ac:dyDescent="0.2">
      <c r="A379" s="191" t="s">
        <v>1743</v>
      </c>
      <c r="B379" s="191" t="s">
        <v>2128</v>
      </c>
    </row>
    <row r="380" spans="1:2" x14ac:dyDescent="0.2">
      <c r="A380" s="191" t="s">
        <v>625</v>
      </c>
      <c r="B380" s="191" t="s">
        <v>2129</v>
      </c>
    </row>
    <row r="381" spans="1:2" x14ac:dyDescent="0.2">
      <c r="A381" s="191" t="s">
        <v>626</v>
      </c>
      <c r="B381" s="191" t="s">
        <v>2130</v>
      </c>
    </row>
    <row r="382" spans="1:2" x14ac:dyDescent="0.2">
      <c r="A382" s="191" t="s">
        <v>627</v>
      </c>
      <c r="B382" s="191" t="s">
        <v>2131</v>
      </c>
    </row>
    <row r="383" spans="1:2" x14ac:dyDescent="0.2">
      <c r="A383" s="191" t="s">
        <v>628</v>
      </c>
      <c r="B383" s="191" t="s">
        <v>2132</v>
      </c>
    </row>
    <row r="384" spans="1:2" x14ac:dyDescent="0.2">
      <c r="A384" s="191" t="s">
        <v>629</v>
      </c>
      <c r="B384" s="191" t="s">
        <v>2133</v>
      </c>
    </row>
    <row r="385" spans="1:2" x14ac:dyDescent="0.2">
      <c r="A385" s="191" t="s">
        <v>630</v>
      </c>
      <c r="B385" s="191" t="s">
        <v>2134</v>
      </c>
    </row>
    <row r="386" spans="1:2" x14ac:dyDescent="0.2">
      <c r="A386" s="191" t="s">
        <v>631</v>
      </c>
      <c r="B386" s="191" t="s">
        <v>2135</v>
      </c>
    </row>
    <row r="387" spans="1:2" x14ac:dyDescent="0.2">
      <c r="A387" s="191" t="s">
        <v>632</v>
      </c>
      <c r="B387" s="191" t="s">
        <v>2136</v>
      </c>
    </row>
    <row r="388" spans="1:2" x14ac:dyDescent="0.2">
      <c r="A388" s="191" t="s">
        <v>633</v>
      </c>
      <c r="B388" s="191" t="s">
        <v>2137</v>
      </c>
    </row>
    <row r="389" spans="1:2" x14ac:dyDescent="0.2">
      <c r="A389" s="191" t="s">
        <v>634</v>
      </c>
      <c r="B389" s="191" t="s">
        <v>2138</v>
      </c>
    </row>
    <row r="390" spans="1:2" x14ac:dyDescent="0.2">
      <c r="A390" s="191" t="s">
        <v>635</v>
      </c>
      <c r="B390" s="191" t="s">
        <v>2139</v>
      </c>
    </row>
    <row r="391" spans="1:2" x14ac:dyDescent="0.2">
      <c r="A391" s="191" t="s">
        <v>636</v>
      </c>
      <c r="B391" s="191" t="s">
        <v>2140</v>
      </c>
    </row>
    <row r="392" spans="1:2" x14ac:dyDescent="0.2">
      <c r="A392" s="191" t="s">
        <v>637</v>
      </c>
      <c r="B392" s="191" t="s">
        <v>2141</v>
      </c>
    </row>
    <row r="393" spans="1:2" x14ac:dyDescent="0.2">
      <c r="A393" s="191" t="s">
        <v>638</v>
      </c>
      <c r="B393" s="191" t="s">
        <v>2142</v>
      </c>
    </row>
    <row r="394" spans="1:2" x14ac:dyDescent="0.2">
      <c r="A394" s="191" t="s">
        <v>639</v>
      </c>
      <c r="B394" s="191" t="s">
        <v>2143</v>
      </c>
    </row>
    <row r="395" spans="1:2" x14ac:dyDescent="0.2">
      <c r="A395" s="191" t="s">
        <v>640</v>
      </c>
      <c r="B395" s="191" t="s">
        <v>2144</v>
      </c>
    </row>
    <row r="396" spans="1:2" x14ac:dyDescent="0.2">
      <c r="A396" s="191" t="s">
        <v>641</v>
      </c>
      <c r="B396" s="191" t="s">
        <v>2145</v>
      </c>
    </row>
    <row r="397" spans="1:2" x14ac:dyDescent="0.2">
      <c r="A397" s="191" t="s">
        <v>642</v>
      </c>
      <c r="B397" s="191" t="s">
        <v>2146</v>
      </c>
    </row>
    <row r="398" spans="1:2" x14ac:dyDescent="0.2">
      <c r="A398" s="191" t="s">
        <v>643</v>
      </c>
      <c r="B398" s="191" t="s">
        <v>2147</v>
      </c>
    </row>
    <row r="399" spans="1:2" x14ac:dyDescent="0.2">
      <c r="A399" s="191" t="s">
        <v>644</v>
      </c>
      <c r="B399" s="191" t="s">
        <v>2148</v>
      </c>
    </row>
    <row r="400" spans="1:2" x14ac:dyDescent="0.2">
      <c r="A400" s="191" t="s">
        <v>645</v>
      </c>
      <c r="B400" s="191" t="s">
        <v>2149</v>
      </c>
    </row>
    <row r="401" spans="1:2" x14ac:dyDescent="0.2">
      <c r="A401" s="191" t="s">
        <v>646</v>
      </c>
      <c r="B401" s="191" t="s">
        <v>2150</v>
      </c>
    </row>
    <row r="402" spans="1:2" x14ac:dyDescent="0.2">
      <c r="A402" s="191" t="s">
        <v>647</v>
      </c>
      <c r="B402" s="191" t="s">
        <v>2151</v>
      </c>
    </row>
    <row r="403" spans="1:2" x14ac:dyDescent="0.2">
      <c r="A403" s="191" t="s">
        <v>648</v>
      </c>
      <c r="B403" s="191" t="s">
        <v>2152</v>
      </c>
    </row>
    <row r="404" spans="1:2" x14ac:dyDescent="0.2">
      <c r="A404" s="191" t="s">
        <v>649</v>
      </c>
      <c r="B404" s="191" t="s">
        <v>2153</v>
      </c>
    </row>
    <row r="405" spans="1:2" x14ac:dyDescent="0.2">
      <c r="A405" s="191" t="s">
        <v>650</v>
      </c>
      <c r="B405" s="191" t="s">
        <v>2154</v>
      </c>
    </row>
    <row r="406" spans="1:2" x14ac:dyDescent="0.2">
      <c r="A406" s="191" t="s">
        <v>651</v>
      </c>
      <c r="B406" s="191" t="s">
        <v>2155</v>
      </c>
    </row>
    <row r="407" spans="1:2" x14ac:dyDescent="0.2">
      <c r="A407" s="191" t="s">
        <v>652</v>
      </c>
      <c r="B407" s="191" t="s">
        <v>2156</v>
      </c>
    </row>
    <row r="408" spans="1:2" x14ac:dyDescent="0.2">
      <c r="A408" s="191" t="s">
        <v>653</v>
      </c>
      <c r="B408" s="191" t="s">
        <v>2157</v>
      </c>
    </row>
    <row r="409" spans="1:2" x14ac:dyDescent="0.2">
      <c r="A409" s="191" t="s">
        <v>654</v>
      </c>
      <c r="B409" s="191" t="s">
        <v>2158</v>
      </c>
    </row>
    <row r="410" spans="1:2" x14ac:dyDescent="0.2">
      <c r="A410" s="191" t="s">
        <v>655</v>
      </c>
      <c r="B410" s="191" t="s">
        <v>1839</v>
      </c>
    </row>
    <row r="411" spans="1:2" x14ac:dyDescent="0.2">
      <c r="A411" s="191" t="s">
        <v>656</v>
      </c>
      <c r="B411" s="191" t="s">
        <v>2159</v>
      </c>
    </row>
    <row r="412" spans="1:2" x14ac:dyDescent="0.2">
      <c r="A412" s="191" t="s">
        <v>657</v>
      </c>
      <c r="B412" s="191" t="s">
        <v>2160</v>
      </c>
    </row>
    <row r="413" spans="1:2" x14ac:dyDescent="0.2">
      <c r="A413" s="191" t="s">
        <v>658</v>
      </c>
      <c r="B413" s="191" t="s">
        <v>2161</v>
      </c>
    </row>
    <row r="414" spans="1:2" x14ac:dyDescent="0.2">
      <c r="A414" s="191" t="s">
        <v>659</v>
      </c>
      <c r="B414" s="191" t="s">
        <v>2162</v>
      </c>
    </row>
    <row r="415" spans="1:2" x14ac:dyDescent="0.2">
      <c r="A415" s="191" t="s">
        <v>660</v>
      </c>
      <c r="B415" s="191" t="s">
        <v>2163</v>
      </c>
    </row>
    <row r="416" spans="1:2" x14ac:dyDescent="0.2">
      <c r="A416" s="191" t="s">
        <v>661</v>
      </c>
      <c r="B416" s="191" t="s">
        <v>2164</v>
      </c>
    </row>
    <row r="417" spans="1:2" x14ac:dyDescent="0.2">
      <c r="A417" s="191" t="s">
        <v>662</v>
      </c>
      <c r="B417" s="191" t="s">
        <v>2165</v>
      </c>
    </row>
    <row r="418" spans="1:2" x14ac:dyDescent="0.2">
      <c r="A418" s="191" t="s">
        <v>663</v>
      </c>
      <c r="B418" s="191" t="s">
        <v>2166</v>
      </c>
    </row>
    <row r="419" spans="1:2" x14ac:dyDescent="0.2">
      <c r="A419" s="191" t="s">
        <v>664</v>
      </c>
      <c r="B419" s="191" t="s">
        <v>2167</v>
      </c>
    </row>
    <row r="420" spans="1:2" x14ac:dyDescent="0.2">
      <c r="A420" s="191" t="s">
        <v>665</v>
      </c>
      <c r="B420" s="191" t="s">
        <v>2168</v>
      </c>
    </row>
    <row r="421" spans="1:2" x14ac:dyDescent="0.2">
      <c r="A421" s="191" t="s">
        <v>666</v>
      </c>
      <c r="B421" s="191" t="s">
        <v>2169</v>
      </c>
    </row>
    <row r="422" spans="1:2" x14ac:dyDescent="0.2">
      <c r="A422" s="191" t="s">
        <v>667</v>
      </c>
      <c r="B422" s="191" t="s">
        <v>2170</v>
      </c>
    </row>
    <row r="423" spans="1:2" x14ac:dyDescent="0.2">
      <c r="A423" s="191" t="s">
        <v>668</v>
      </c>
      <c r="B423" s="191" t="s">
        <v>2171</v>
      </c>
    </row>
    <row r="424" spans="1:2" x14ac:dyDescent="0.2">
      <c r="A424" s="191" t="s">
        <v>669</v>
      </c>
      <c r="B424" s="191" t="s">
        <v>2172</v>
      </c>
    </row>
    <row r="425" spans="1:2" x14ac:dyDescent="0.2">
      <c r="A425" s="191" t="s">
        <v>670</v>
      </c>
      <c r="B425" s="191" t="s">
        <v>2173</v>
      </c>
    </row>
    <row r="426" spans="1:2" x14ac:dyDescent="0.2">
      <c r="A426" s="191" t="s">
        <v>671</v>
      </c>
      <c r="B426" s="191" t="s">
        <v>2174</v>
      </c>
    </row>
    <row r="427" spans="1:2" x14ac:dyDescent="0.2">
      <c r="A427" s="191" t="s">
        <v>672</v>
      </c>
      <c r="B427" s="191" t="s">
        <v>2175</v>
      </c>
    </row>
    <row r="428" spans="1:2" x14ac:dyDescent="0.2">
      <c r="A428" s="191" t="s">
        <v>673</v>
      </c>
      <c r="B428" s="191" t="s">
        <v>2176</v>
      </c>
    </row>
    <row r="429" spans="1:2" x14ac:dyDescent="0.2">
      <c r="A429" s="191" t="s">
        <v>674</v>
      </c>
      <c r="B429" s="191" t="s">
        <v>2177</v>
      </c>
    </row>
    <row r="430" spans="1:2" x14ac:dyDescent="0.2">
      <c r="A430" s="191" t="s">
        <v>675</v>
      </c>
      <c r="B430" s="191" t="s">
        <v>2178</v>
      </c>
    </row>
    <row r="431" spans="1:2" x14ac:dyDescent="0.2">
      <c r="A431" s="191" t="s">
        <v>676</v>
      </c>
      <c r="B431" s="191" t="s">
        <v>2179</v>
      </c>
    </row>
    <row r="432" spans="1:2" x14ac:dyDescent="0.2">
      <c r="A432" s="191" t="s">
        <v>677</v>
      </c>
      <c r="B432" s="191" t="s">
        <v>2180</v>
      </c>
    </row>
    <row r="433" spans="1:2" x14ac:dyDescent="0.2">
      <c r="A433" s="191" t="s">
        <v>678</v>
      </c>
      <c r="B433" s="191" t="s">
        <v>2181</v>
      </c>
    </row>
    <row r="434" spans="1:2" x14ac:dyDescent="0.2">
      <c r="A434" s="191" t="s">
        <v>679</v>
      </c>
      <c r="B434" s="191" t="s">
        <v>2182</v>
      </c>
    </row>
    <row r="435" spans="1:2" x14ac:dyDescent="0.2">
      <c r="A435" s="191" t="s">
        <v>680</v>
      </c>
      <c r="B435" s="191" t="s">
        <v>2183</v>
      </c>
    </row>
    <row r="436" spans="1:2" x14ac:dyDescent="0.2">
      <c r="A436" s="191" t="s">
        <v>681</v>
      </c>
      <c r="B436" s="191" t="s">
        <v>2184</v>
      </c>
    </row>
    <row r="437" spans="1:2" x14ac:dyDescent="0.2">
      <c r="A437" s="191" t="s">
        <v>682</v>
      </c>
      <c r="B437" s="191" t="s">
        <v>2185</v>
      </c>
    </row>
    <row r="438" spans="1:2" x14ac:dyDescent="0.2">
      <c r="A438" s="191" t="s">
        <v>683</v>
      </c>
      <c r="B438" s="191" t="s">
        <v>2186</v>
      </c>
    </row>
    <row r="439" spans="1:2" x14ac:dyDescent="0.2">
      <c r="A439" s="191" t="s">
        <v>684</v>
      </c>
      <c r="B439" s="191" t="s">
        <v>2187</v>
      </c>
    </row>
    <row r="440" spans="1:2" x14ac:dyDescent="0.2">
      <c r="A440" s="191" t="s">
        <v>685</v>
      </c>
      <c r="B440" s="191" t="s">
        <v>2188</v>
      </c>
    </row>
    <row r="441" spans="1:2" x14ac:dyDescent="0.2">
      <c r="A441" s="191" t="s">
        <v>686</v>
      </c>
      <c r="B441" s="191" t="s">
        <v>2189</v>
      </c>
    </row>
    <row r="442" spans="1:2" x14ac:dyDescent="0.2">
      <c r="A442" s="191" t="s">
        <v>687</v>
      </c>
      <c r="B442" s="191" t="s">
        <v>2190</v>
      </c>
    </row>
    <row r="443" spans="1:2" x14ac:dyDescent="0.2">
      <c r="A443" s="191" t="s">
        <v>688</v>
      </c>
      <c r="B443" s="191" t="s">
        <v>2191</v>
      </c>
    </row>
    <row r="444" spans="1:2" x14ac:dyDescent="0.2">
      <c r="A444" s="191" t="s">
        <v>689</v>
      </c>
      <c r="B444" s="191" t="s">
        <v>2192</v>
      </c>
    </row>
    <row r="445" spans="1:2" x14ac:dyDescent="0.2">
      <c r="A445" s="191" t="s">
        <v>690</v>
      </c>
      <c r="B445" s="191" t="s">
        <v>2193</v>
      </c>
    </row>
    <row r="446" spans="1:2" x14ac:dyDescent="0.2">
      <c r="A446" s="191" t="s">
        <v>691</v>
      </c>
      <c r="B446" s="191" t="s">
        <v>2194</v>
      </c>
    </row>
    <row r="447" spans="1:2" x14ac:dyDescent="0.2">
      <c r="A447" s="191" t="s">
        <v>692</v>
      </c>
      <c r="B447" s="191" t="s">
        <v>2195</v>
      </c>
    </row>
    <row r="448" spans="1:2" x14ac:dyDescent="0.2">
      <c r="A448" s="191" t="s">
        <v>693</v>
      </c>
      <c r="B448" s="191" t="s">
        <v>2196</v>
      </c>
    </row>
    <row r="449" spans="1:2" x14ac:dyDescent="0.2">
      <c r="A449" s="191" t="s">
        <v>694</v>
      </c>
      <c r="B449" s="191" t="s">
        <v>2197</v>
      </c>
    </row>
    <row r="450" spans="1:2" x14ac:dyDescent="0.2">
      <c r="A450" s="191" t="s">
        <v>695</v>
      </c>
      <c r="B450" s="191" t="s">
        <v>2198</v>
      </c>
    </row>
    <row r="451" spans="1:2" x14ac:dyDescent="0.2">
      <c r="A451" s="191" t="s">
        <v>696</v>
      </c>
      <c r="B451" s="191" t="s">
        <v>2199</v>
      </c>
    </row>
    <row r="452" spans="1:2" x14ac:dyDescent="0.2">
      <c r="A452" s="191" t="s">
        <v>697</v>
      </c>
      <c r="B452" s="191" t="s">
        <v>1964</v>
      </c>
    </row>
    <row r="453" spans="1:2" x14ac:dyDescent="0.2">
      <c r="A453" s="191" t="s">
        <v>698</v>
      </c>
      <c r="B453" s="191" t="s">
        <v>2200</v>
      </c>
    </row>
    <row r="454" spans="1:2" x14ac:dyDescent="0.2">
      <c r="A454" s="191" t="s">
        <v>699</v>
      </c>
      <c r="B454" s="191" t="s">
        <v>2201</v>
      </c>
    </row>
    <row r="455" spans="1:2" x14ac:dyDescent="0.2">
      <c r="A455" s="191" t="s">
        <v>700</v>
      </c>
      <c r="B455" s="191" t="s">
        <v>2202</v>
      </c>
    </row>
    <row r="456" spans="1:2" x14ac:dyDescent="0.2">
      <c r="A456" s="191" t="s">
        <v>701</v>
      </c>
      <c r="B456" s="191" t="s">
        <v>2203</v>
      </c>
    </row>
    <row r="457" spans="1:2" x14ac:dyDescent="0.2">
      <c r="A457" s="191" t="s">
        <v>702</v>
      </c>
      <c r="B457" s="191" t="s">
        <v>2204</v>
      </c>
    </row>
    <row r="458" spans="1:2" x14ac:dyDescent="0.2">
      <c r="A458" s="191" t="s">
        <v>703</v>
      </c>
      <c r="B458" s="191" t="s">
        <v>2205</v>
      </c>
    </row>
    <row r="459" spans="1:2" x14ac:dyDescent="0.2">
      <c r="A459" s="191" t="s">
        <v>704</v>
      </c>
      <c r="B459" s="191" t="s">
        <v>2206</v>
      </c>
    </row>
    <row r="460" spans="1:2" x14ac:dyDescent="0.2">
      <c r="A460" s="191" t="s">
        <v>705</v>
      </c>
      <c r="B460" s="191" t="s">
        <v>2207</v>
      </c>
    </row>
    <row r="461" spans="1:2" x14ac:dyDescent="0.2">
      <c r="A461" s="191" t="s">
        <v>706</v>
      </c>
      <c r="B461" s="191" t="s">
        <v>2208</v>
      </c>
    </row>
    <row r="462" spans="1:2" x14ac:dyDescent="0.2">
      <c r="A462" s="191" t="s">
        <v>707</v>
      </c>
      <c r="B462" s="191" t="s">
        <v>2209</v>
      </c>
    </row>
    <row r="463" spans="1:2" x14ac:dyDescent="0.2">
      <c r="A463" s="191" t="s">
        <v>708</v>
      </c>
      <c r="B463" s="191" t="s">
        <v>2210</v>
      </c>
    </row>
    <row r="464" spans="1:2" x14ac:dyDescent="0.2">
      <c r="A464" s="191" t="s">
        <v>709</v>
      </c>
      <c r="B464" s="191" t="s">
        <v>2211</v>
      </c>
    </row>
    <row r="465" spans="1:2" x14ac:dyDescent="0.2">
      <c r="A465" s="191" t="s">
        <v>710</v>
      </c>
      <c r="B465" s="191" t="s">
        <v>2212</v>
      </c>
    </row>
    <row r="466" spans="1:2" x14ac:dyDescent="0.2">
      <c r="A466" s="191" t="s">
        <v>711</v>
      </c>
      <c r="B466" s="191" t="s">
        <v>2213</v>
      </c>
    </row>
    <row r="467" spans="1:2" x14ac:dyDescent="0.2">
      <c r="A467" s="191" t="s">
        <v>712</v>
      </c>
      <c r="B467" s="191" t="s">
        <v>2214</v>
      </c>
    </row>
    <row r="468" spans="1:2" x14ac:dyDescent="0.2">
      <c r="A468" s="191" t="s">
        <v>713</v>
      </c>
      <c r="B468" s="191" t="s">
        <v>2215</v>
      </c>
    </row>
    <row r="469" spans="1:2" x14ac:dyDescent="0.2">
      <c r="A469" s="191" t="s">
        <v>714</v>
      </c>
      <c r="B469" s="191" t="s">
        <v>2216</v>
      </c>
    </row>
    <row r="470" spans="1:2" x14ac:dyDescent="0.2">
      <c r="A470" s="191" t="s">
        <v>715</v>
      </c>
      <c r="B470" s="191" t="s">
        <v>2217</v>
      </c>
    </row>
    <row r="471" spans="1:2" x14ac:dyDescent="0.2">
      <c r="A471" s="191" t="s">
        <v>716</v>
      </c>
      <c r="B471" s="191" t="s">
        <v>2218</v>
      </c>
    </row>
    <row r="472" spans="1:2" x14ac:dyDescent="0.2">
      <c r="A472" s="191" t="s">
        <v>717</v>
      </c>
      <c r="B472" s="191" t="s">
        <v>2219</v>
      </c>
    </row>
    <row r="473" spans="1:2" x14ac:dyDescent="0.2">
      <c r="A473" s="191" t="s">
        <v>718</v>
      </c>
      <c r="B473" s="191" t="s">
        <v>2220</v>
      </c>
    </row>
    <row r="474" spans="1:2" x14ac:dyDescent="0.2">
      <c r="A474" s="191" t="s">
        <v>719</v>
      </c>
      <c r="B474" s="191" t="s">
        <v>2221</v>
      </c>
    </row>
    <row r="475" spans="1:2" x14ac:dyDescent="0.2">
      <c r="A475" s="191" t="s">
        <v>720</v>
      </c>
      <c r="B475" s="191" t="s">
        <v>2222</v>
      </c>
    </row>
    <row r="476" spans="1:2" x14ac:dyDescent="0.2">
      <c r="A476" s="191" t="s">
        <v>721</v>
      </c>
      <c r="B476" s="191" t="s">
        <v>2223</v>
      </c>
    </row>
    <row r="477" spans="1:2" x14ac:dyDescent="0.2">
      <c r="A477" s="191" t="s">
        <v>722</v>
      </c>
      <c r="B477" s="191" t="s">
        <v>2224</v>
      </c>
    </row>
    <row r="478" spans="1:2" x14ac:dyDescent="0.2">
      <c r="A478" s="191" t="s">
        <v>723</v>
      </c>
      <c r="B478" s="191" t="s">
        <v>2225</v>
      </c>
    </row>
    <row r="479" spans="1:2" x14ac:dyDescent="0.2">
      <c r="A479" s="191" t="s">
        <v>724</v>
      </c>
      <c r="B479" s="191" t="s">
        <v>2226</v>
      </c>
    </row>
    <row r="480" spans="1:2" x14ac:dyDescent="0.2">
      <c r="A480" s="191" t="s">
        <v>725</v>
      </c>
      <c r="B480" s="191" t="s">
        <v>2227</v>
      </c>
    </row>
    <row r="481" spans="1:2" x14ac:dyDescent="0.2">
      <c r="A481" s="191" t="s">
        <v>726</v>
      </c>
      <c r="B481" s="191" t="s">
        <v>2228</v>
      </c>
    </row>
    <row r="482" spans="1:2" x14ac:dyDescent="0.2">
      <c r="A482" s="191" t="s">
        <v>727</v>
      </c>
      <c r="B482" s="191" t="s">
        <v>2229</v>
      </c>
    </row>
    <row r="483" spans="1:2" x14ac:dyDescent="0.2">
      <c r="A483" s="191" t="s">
        <v>728</v>
      </c>
      <c r="B483" s="191" t="s">
        <v>2230</v>
      </c>
    </row>
    <row r="484" spans="1:2" x14ac:dyDescent="0.2">
      <c r="A484" s="191" t="s">
        <v>729</v>
      </c>
      <c r="B484" s="191" t="s">
        <v>2231</v>
      </c>
    </row>
    <row r="485" spans="1:2" x14ac:dyDescent="0.2">
      <c r="A485" s="191" t="s">
        <v>730</v>
      </c>
      <c r="B485" s="191" t="s">
        <v>2232</v>
      </c>
    </row>
    <row r="486" spans="1:2" x14ac:dyDescent="0.2">
      <c r="A486" s="191" t="s">
        <v>731</v>
      </c>
      <c r="B486" s="191" t="s">
        <v>2233</v>
      </c>
    </row>
    <row r="487" spans="1:2" x14ac:dyDescent="0.2">
      <c r="A487" s="191" t="s">
        <v>732</v>
      </c>
      <c r="B487" s="191" t="s">
        <v>2234</v>
      </c>
    </row>
    <row r="488" spans="1:2" x14ac:dyDescent="0.2">
      <c r="A488" s="191" t="s">
        <v>733</v>
      </c>
      <c r="B488" s="191" t="s">
        <v>1880</v>
      </c>
    </row>
    <row r="489" spans="1:2" x14ac:dyDescent="0.2">
      <c r="A489" s="191" t="s">
        <v>734</v>
      </c>
      <c r="B489" s="191" t="s">
        <v>2235</v>
      </c>
    </row>
    <row r="490" spans="1:2" x14ac:dyDescent="0.2">
      <c r="A490" s="191" t="s">
        <v>735</v>
      </c>
      <c r="B490" s="191" t="s">
        <v>2236</v>
      </c>
    </row>
    <row r="491" spans="1:2" x14ac:dyDescent="0.2">
      <c r="A491" s="191" t="s">
        <v>736</v>
      </c>
      <c r="B491" s="191" t="s">
        <v>2237</v>
      </c>
    </row>
    <row r="492" spans="1:2" x14ac:dyDescent="0.2">
      <c r="A492" s="191" t="s">
        <v>737</v>
      </c>
      <c r="B492" s="191" t="s">
        <v>2238</v>
      </c>
    </row>
    <row r="493" spans="1:2" x14ac:dyDescent="0.2">
      <c r="A493" s="191" t="s">
        <v>738</v>
      </c>
      <c r="B493" s="191" t="s">
        <v>2239</v>
      </c>
    </row>
    <row r="494" spans="1:2" x14ac:dyDescent="0.2">
      <c r="A494" s="191" t="s">
        <v>739</v>
      </c>
      <c r="B494" s="191" t="s">
        <v>2240</v>
      </c>
    </row>
    <row r="495" spans="1:2" x14ac:dyDescent="0.2">
      <c r="A495" s="191" t="s">
        <v>740</v>
      </c>
      <c r="B495" s="191" t="s">
        <v>2241</v>
      </c>
    </row>
    <row r="496" spans="1:2" x14ac:dyDescent="0.2">
      <c r="A496" s="191" t="s">
        <v>741</v>
      </c>
      <c r="B496" s="191" t="s">
        <v>1988</v>
      </c>
    </row>
    <row r="497" spans="1:2" x14ac:dyDescent="0.2">
      <c r="A497" s="191" t="s">
        <v>742</v>
      </c>
      <c r="B497" s="191" t="s">
        <v>2242</v>
      </c>
    </row>
    <row r="498" spans="1:2" x14ac:dyDescent="0.2">
      <c r="A498" s="191" t="s">
        <v>743</v>
      </c>
      <c r="B498" s="191" t="s">
        <v>2243</v>
      </c>
    </row>
    <row r="499" spans="1:2" x14ac:dyDescent="0.2">
      <c r="A499" s="191" t="s">
        <v>744</v>
      </c>
      <c r="B499" s="191" t="s">
        <v>2244</v>
      </c>
    </row>
    <row r="500" spans="1:2" x14ac:dyDescent="0.2">
      <c r="A500" s="191" t="s">
        <v>745</v>
      </c>
      <c r="B500" s="191" t="s">
        <v>1964</v>
      </c>
    </row>
    <row r="501" spans="1:2" x14ac:dyDescent="0.2">
      <c r="A501" s="191" t="s">
        <v>746</v>
      </c>
      <c r="B501" s="191" t="s">
        <v>2245</v>
      </c>
    </row>
    <row r="502" spans="1:2" x14ac:dyDescent="0.2">
      <c r="A502" s="191" t="s">
        <v>747</v>
      </c>
      <c r="B502" s="191" t="s">
        <v>2246</v>
      </c>
    </row>
    <row r="503" spans="1:2" x14ac:dyDescent="0.2">
      <c r="A503" s="191" t="s">
        <v>748</v>
      </c>
      <c r="B503" s="191" t="s">
        <v>2247</v>
      </c>
    </row>
    <row r="504" spans="1:2" x14ac:dyDescent="0.2">
      <c r="A504" s="191" t="s">
        <v>749</v>
      </c>
      <c r="B504" s="191" t="s">
        <v>2248</v>
      </c>
    </row>
    <row r="505" spans="1:2" x14ac:dyDescent="0.2">
      <c r="A505" s="191" t="s">
        <v>750</v>
      </c>
      <c r="B505" s="191" t="s">
        <v>2249</v>
      </c>
    </row>
    <row r="506" spans="1:2" x14ac:dyDescent="0.2">
      <c r="A506" s="191" t="s">
        <v>751</v>
      </c>
      <c r="B506" s="191" t="s">
        <v>2250</v>
      </c>
    </row>
    <row r="507" spans="1:2" x14ac:dyDescent="0.2">
      <c r="A507" s="191" t="s">
        <v>752</v>
      </c>
      <c r="B507" s="191" t="s">
        <v>2251</v>
      </c>
    </row>
    <row r="508" spans="1:2" x14ac:dyDescent="0.2">
      <c r="A508" s="191" t="s">
        <v>753</v>
      </c>
      <c r="B508" s="191" t="s">
        <v>2252</v>
      </c>
    </row>
    <row r="509" spans="1:2" x14ac:dyDescent="0.2">
      <c r="A509" s="191" t="s">
        <v>754</v>
      </c>
      <c r="B509" s="191" t="s">
        <v>2253</v>
      </c>
    </row>
    <row r="510" spans="1:2" x14ac:dyDescent="0.2">
      <c r="A510" s="191" t="s">
        <v>755</v>
      </c>
      <c r="B510" s="191" t="s">
        <v>2254</v>
      </c>
    </row>
    <row r="511" spans="1:2" x14ac:dyDescent="0.2">
      <c r="A511" s="191" t="s">
        <v>756</v>
      </c>
      <c r="B511" s="191" t="s">
        <v>2255</v>
      </c>
    </row>
    <row r="512" spans="1:2" x14ac:dyDescent="0.2">
      <c r="A512" s="191" t="s">
        <v>757</v>
      </c>
      <c r="B512" s="191" t="s">
        <v>2256</v>
      </c>
    </row>
    <row r="513" spans="1:2" x14ac:dyDescent="0.2">
      <c r="A513" s="191" t="s">
        <v>758</v>
      </c>
      <c r="B513" s="191" t="s">
        <v>2257</v>
      </c>
    </row>
    <row r="514" spans="1:2" x14ac:dyDescent="0.2">
      <c r="A514" s="191" t="s">
        <v>759</v>
      </c>
      <c r="B514" s="191" t="s">
        <v>2258</v>
      </c>
    </row>
    <row r="515" spans="1:2" x14ac:dyDescent="0.2">
      <c r="A515" s="191" t="s">
        <v>760</v>
      </c>
      <c r="B515" s="191" t="s">
        <v>2259</v>
      </c>
    </row>
    <row r="516" spans="1:2" x14ac:dyDescent="0.2">
      <c r="A516" s="191" t="s">
        <v>761</v>
      </c>
      <c r="B516" s="191" t="s">
        <v>2260</v>
      </c>
    </row>
    <row r="517" spans="1:2" x14ac:dyDescent="0.2">
      <c r="A517" s="191" t="s">
        <v>762</v>
      </c>
      <c r="B517" s="191" t="s">
        <v>2261</v>
      </c>
    </row>
    <row r="518" spans="1:2" x14ac:dyDescent="0.2">
      <c r="A518" s="191" t="s">
        <v>763</v>
      </c>
      <c r="B518" s="191" t="s">
        <v>2262</v>
      </c>
    </row>
    <row r="519" spans="1:2" x14ac:dyDescent="0.2">
      <c r="A519" s="191" t="s">
        <v>764</v>
      </c>
      <c r="B519" s="191" t="s">
        <v>2263</v>
      </c>
    </row>
    <row r="520" spans="1:2" x14ac:dyDescent="0.2">
      <c r="A520" s="191" t="s">
        <v>765</v>
      </c>
      <c r="B520" s="191" t="s">
        <v>2264</v>
      </c>
    </row>
    <row r="521" spans="1:2" x14ac:dyDescent="0.2">
      <c r="A521" s="191" t="s">
        <v>766</v>
      </c>
      <c r="B521" s="191" t="s">
        <v>2265</v>
      </c>
    </row>
    <row r="522" spans="1:2" x14ac:dyDescent="0.2">
      <c r="A522" s="191" t="s">
        <v>767</v>
      </c>
      <c r="B522" s="191" t="s">
        <v>2266</v>
      </c>
    </row>
    <row r="523" spans="1:2" x14ac:dyDescent="0.2">
      <c r="A523" s="191" t="s">
        <v>768</v>
      </c>
      <c r="B523" s="191" t="s">
        <v>2267</v>
      </c>
    </row>
    <row r="524" spans="1:2" x14ac:dyDescent="0.2">
      <c r="A524" s="191" t="s">
        <v>769</v>
      </c>
      <c r="B524" s="191" t="s">
        <v>2268</v>
      </c>
    </row>
    <row r="525" spans="1:2" x14ac:dyDescent="0.2">
      <c r="A525" s="191" t="s">
        <v>770</v>
      </c>
      <c r="B525" s="191" t="s">
        <v>2269</v>
      </c>
    </row>
    <row r="526" spans="1:2" x14ac:dyDescent="0.2">
      <c r="A526" s="191" t="s">
        <v>771</v>
      </c>
      <c r="B526" s="191" t="s">
        <v>2270</v>
      </c>
    </row>
    <row r="527" spans="1:2" x14ac:dyDescent="0.2">
      <c r="A527" s="191" t="s">
        <v>772</v>
      </c>
      <c r="B527" s="191" t="s">
        <v>2271</v>
      </c>
    </row>
    <row r="528" spans="1:2" x14ac:dyDescent="0.2">
      <c r="A528" s="191" t="s">
        <v>773</v>
      </c>
      <c r="B528" s="191" t="s">
        <v>2272</v>
      </c>
    </row>
    <row r="529" spans="1:2" x14ac:dyDescent="0.2">
      <c r="A529" s="191" t="s">
        <v>774</v>
      </c>
      <c r="B529" s="191" t="s">
        <v>2273</v>
      </c>
    </row>
    <row r="530" spans="1:2" x14ac:dyDescent="0.2">
      <c r="A530" s="191" t="s">
        <v>775</v>
      </c>
      <c r="B530" s="191" t="s">
        <v>2274</v>
      </c>
    </row>
    <row r="531" spans="1:2" x14ac:dyDescent="0.2">
      <c r="A531" s="191" t="s">
        <v>776</v>
      </c>
      <c r="B531" s="191" t="s">
        <v>2275</v>
      </c>
    </row>
    <row r="532" spans="1:2" x14ac:dyDescent="0.2">
      <c r="A532" s="191" t="s">
        <v>777</v>
      </c>
      <c r="B532" s="191" t="s">
        <v>2276</v>
      </c>
    </row>
    <row r="533" spans="1:2" x14ac:dyDescent="0.2">
      <c r="A533" s="191" t="s">
        <v>778</v>
      </c>
      <c r="B533" s="191" t="s">
        <v>2277</v>
      </c>
    </row>
    <row r="534" spans="1:2" x14ac:dyDescent="0.2">
      <c r="A534" s="191" t="s">
        <v>779</v>
      </c>
      <c r="B534" s="191" t="s">
        <v>2278</v>
      </c>
    </row>
    <row r="535" spans="1:2" x14ac:dyDescent="0.2">
      <c r="A535" s="191" t="s">
        <v>780</v>
      </c>
      <c r="B535" s="191" t="s">
        <v>2279</v>
      </c>
    </row>
    <row r="536" spans="1:2" x14ac:dyDescent="0.2">
      <c r="A536" s="191" t="s">
        <v>781</v>
      </c>
      <c r="B536" s="191" t="s">
        <v>2280</v>
      </c>
    </row>
    <row r="537" spans="1:2" x14ac:dyDescent="0.2">
      <c r="A537" s="191" t="s">
        <v>782</v>
      </c>
      <c r="B537" s="191" t="s">
        <v>2281</v>
      </c>
    </row>
    <row r="538" spans="1:2" x14ac:dyDescent="0.2">
      <c r="A538" s="191" t="s">
        <v>783</v>
      </c>
      <c r="B538" s="191" t="s">
        <v>2282</v>
      </c>
    </row>
    <row r="539" spans="1:2" x14ac:dyDescent="0.2">
      <c r="A539" s="191" t="s">
        <v>784</v>
      </c>
      <c r="B539" s="191" t="s">
        <v>2283</v>
      </c>
    </row>
    <row r="540" spans="1:2" x14ac:dyDescent="0.2">
      <c r="A540" s="191" t="s">
        <v>785</v>
      </c>
      <c r="B540" s="191" t="s">
        <v>2284</v>
      </c>
    </row>
    <row r="541" spans="1:2" x14ac:dyDescent="0.2">
      <c r="A541" s="191" t="s">
        <v>786</v>
      </c>
      <c r="B541" s="191" t="s">
        <v>2285</v>
      </c>
    </row>
    <row r="542" spans="1:2" x14ac:dyDescent="0.2">
      <c r="A542" s="191" t="s">
        <v>787</v>
      </c>
      <c r="B542" s="191" t="s">
        <v>2286</v>
      </c>
    </row>
    <row r="543" spans="1:2" x14ac:dyDescent="0.2">
      <c r="A543" s="191" t="s">
        <v>788</v>
      </c>
      <c r="B543" s="191" t="s">
        <v>2287</v>
      </c>
    </row>
    <row r="544" spans="1:2" x14ac:dyDescent="0.2">
      <c r="A544" s="191" t="s">
        <v>789</v>
      </c>
      <c r="B544" s="191" t="s">
        <v>2288</v>
      </c>
    </row>
    <row r="545" spans="1:2" x14ac:dyDescent="0.2">
      <c r="A545" s="191" t="s">
        <v>790</v>
      </c>
      <c r="B545" s="191" t="s">
        <v>2289</v>
      </c>
    </row>
    <row r="546" spans="1:2" x14ac:dyDescent="0.2">
      <c r="A546" s="191" t="s">
        <v>791</v>
      </c>
      <c r="B546" s="191" t="s">
        <v>2290</v>
      </c>
    </row>
    <row r="547" spans="1:2" x14ac:dyDescent="0.2">
      <c r="A547" s="191" t="s">
        <v>792</v>
      </c>
      <c r="B547" s="191" t="s">
        <v>2291</v>
      </c>
    </row>
    <row r="548" spans="1:2" x14ac:dyDescent="0.2">
      <c r="A548" s="191" t="s">
        <v>793</v>
      </c>
      <c r="B548" s="191" t="s">
        <v>2292</v>
      </c>
    </row>
    <row r="549" spans="1:2" x14ac:dyDescent="0.2">
      <c r="A549" s="191" t="s">
        <v>794</v>
      </c>
      <c r="B549" s="191" t="s">
        <v>2293</v>
      </c>
    </row>
    <row r="550" spans="1:2" x14ac:dyDescent="0.2">
      <c r="A550" s="191" t="s">
        <v>795</v>
      </c>
      <c r="B550" s="191" t="s">
        <v>2294</v>
      </c>
    </row>
    <row r="551" spans="1:2" x14ac:dyDescent="0.2">
      <c r="A551" s="191" t="s">
        <v>796</v>
      </c>
      <c r="B551" s="191" t="s">
        <v>2295</v>
      </c>
    </row>
    <row r="552" spans="1:2" x14ac:dyDescent="0.2">
      <c r="A552" s="191" t="s">
        <v>797</v>
      </c>
      <c r="B552" s="191" t="s">
        <v>2296</v>
      </c>
    </row>
    <row r="553" spans="1:2" x14ac:dyDescent="0.2">
      <c r="A553" s="191" t="s">
        <v>798</v>
      </c>
      <c r="B553" s="191" t="s">
        <v>2297</v>
      </c>
    </row>
    <row r="554" spans="1:2" x14ac:dyDescent="0.2">
      <c r="A554" s="191" t="s">
        <v>799</v>
      </c>
      <c r="B554" s="191" t="s">
        <v>2298</v>
      </c>
    </row>
    <row r="555" spans="1:2" x14ac:dyDescent="0.2">
      <c r="A555" s="191" t="s">
        <v>800</v>
      </c>
      <c r="B555" s="191" t="s">
        <v>2299</v>
      </c>
    </row>
    <row r="556" spans="1:2" x14ac:dyDescent="0.2">
      <c r="A556" s="191" t="s">
        <v>801</v>
      </c>
      <c r="B556" s="191" t="s">
        <v>2300</v>
      </c>
    </row>
    <row r="557" spans="1:2" x14ac:dyDescent="0.2">
      <c r="A557" s="191" t="s">
        <v>802</v>
      </c>
      <c r="B557" s="191" t="s">
        <v>2301</v>
      </c>
    </row>
    <row r="558" spans="1:2" x14ac:dyDescent="0.2">
      <c r="A558" s="191" t="s">
        <v>803</v>
      </c>
      <c r="B558" s="191" t="s">
        <v>2302</v>
      </c>
    </row>
    <row r="559" spans="1:2" x14ac:dyDescent="0.2">
      <c r="A559" s="191" t="s">
        <v>804</v>
      </c>
      <c r="B559" s="191" t="s">
        <v>2303</v>
      </c>
    </row>
    <row r="560" spans="1:2" x14ac:dyDescent="0.2">
      <c r="A560" s="191" t="s">
        <v>805</v>
      </c>
      <c r="B560" s="191" t="s">
        <v>2304</v>
      </c>
    </row>
    <row r="561" spans="1:2" x14ac:dyDescent="0.2">
      <c r="A561" s="191" t="s">
        <v>806</v>
      </c>
      <c r="B561" s="191" t="s">
        <v>2305</v>
      </c>
    </row>
    <row r="562" spans="1:2" x14ac:dyDescent="0.2">
      <c r="A562" s="191" t="s">
        <v>807</v>
      </c>
      <c r="B562" s="191" t="s">
        <v>2306</v>
      </c>
    </row>
    <row r="563" spans="1:2" x14ac:dyDescent="0.2">
      <c r="A563" s="191" t="s">
        <v>808</v>
      </c>
      <c r="B563" s="191" t="s">
        <v>2307</v>
      </c>
    </row>
    <row r="564" spans="1:2" x14ac:dyDescent="0.2">
      <c r="A564" s="191" t="s">
        <v>809</v>
      </c>
      <c r="B564" s="191" t="s">
        <v>2308</v>
      </c>
    </row>
    <row r="565" spans="1:2" x14ac:dyDescent="0.2">
      <c r="A565" s="191" t="s">
        <v>810</v>
      </c>
      <c r="B565" s="191" t="s">
        <v>2309</v>
      </c>
    </row>
    <row r="566" spans="1:2" x14ac:dyDescent="0.2">
      <c r="A566" s="191" t="s">
        <v>811</v>
      </c>
      <c r="B566" s="191" t="s">
        <v>2310</v>
      </c>
    </row>
    <row r="567" spans="1:2" x14ac:dyDescent="0.2">
      <c r="A567" s="191" t="s">
        <v>812</v>
      </c>
      <c r="B567" s="191" t="s">
        <v>2311</v>
      </c>
    </row>
    <row r="568" spans="1:2" x14ac:dyDescent="0.2">
      <c r="A568" s="191" t="s">
        <v>813</v>
      </c>
      <c r="B568" s="191" t="s">
        <v>2312</v>
      </c>
    </row>
    <row r="569" spans="1:2" x14ac:dyDescent="0.2">
      <c r="A569" s="191" t="s">
        <v>814</v>
      </c>
      <c r="B569" s="191" t="s">
        <v>1986</v>
      </c>
    </row>
    <row r="570" spans="1:2" x14ac:dyDescent="0.2">
      <c r="A570" s="191" t="s">
        <v>815</v>
      </c>
      <c r="B570" s="191" t="s">
        <v>2313</v>
      </c>
    </row>
    <row r="571" spans="1:2" x14ac:dyDescent="0.2">
      <c r="A571" s="191" t="s">
        <v>816</v>
      </c>
      <c r="B571" s="191" t="s">
        <v>2314</v>
      </c>
    </row>
    <row r="572" spans="1:2" x14ac:dyDescent="0.2">
      <c r="A572" s="191" t="s">
        <v>817</v>
      </c>
      <c r="B572" s="191" t="s">
        <v>2315</v>
      </c>
    </row>
    <row r="573" spans="1:2" x14ac:dyDescent="0.2">
      <c r="A573" s="191" t="s">
        <v>818</v>
      </c>
      <c r="B573" s="191" t="s">
        <v>2316</v>
      </c>
    </row>
    <row r="574" spans="1:2" x14ac:dyDescent="0.2">
      <c r="A574" s="191" t="s">
        <v>819</v>
      </c>
      <c r="B574" s="191" t="s">
        <v>2317</v>
      </c>
    </row>
    <row r="575" spans="1:2" x14ac:dyDescent="0.2">
      <c r="A575" s="191" t="s">
        <v>820</v>
      </c>
      <c r="B575" s="191" t="s">
        <v>2318</v>
      </c>
    </row>
    <row r="576" spans="1:2" x14ac:dyDescent="0.2">
      <c r="A576" s="191" t="s">
        <v>821</v>
      </c>
      <c r="B576" s="191" t="s">
        <v>2319</v>
      </c>
    </row>
    <row r="577" spans="1:2" x14ac:dyDescent="0.2">
      <c r="A577" s="191" t="s">
        <v>822</v>
      </c>
      <c r="B577" s="191" t="s">
        <v>2320</v>
      </c>
    </row>
    <row r="578" spans="1:2" x14ac:dyDescent="0.2">
      <c r="A578" s="191" t="s">
        <v>823</v>
      </c>
      <c r="B578" s="191" t="s">
        <v>2321</v>
      </c>
    </row>
    <row r="579" spans="1:2" x14ac:dyDescent="0.2">
      <c r="A579" s="191" t="s">
        <v>824</v>
      </c>
      <c r="B579" s="191" t="s">
        <v>2322</v>
      </c>
    </row>
    <row r="580" spans="1:2" x14ac:dyDescent="0.2">
      <c r="A580" s="191" t="s">
        <v>825</v>
      </c>
      <c r="B580" s="191" t="s">
        <v>2323</v>
      </c>
    </row>
    <row r="581" spans="1:2" x14ac:dyDescent="0.2">
      <c r="A581" s="191" t="s">
        <v>826</v>
      </c>
      <c r="B581" s="191" t="s">
        <v>2324</v>
      </c>
    </row>
    <row r="582" spans="1:2" x14ac:dyDescent="0.2">
      <c r="A582" s="191" t="s">
        <v>827</v>
      </c>
      <c r="B582" s="191" t="s">
        <v>2325</v>
      </c>
    </row>
    <row r="583" spans="1:2" x14ac:dyDescent="0.2">
      <c r="A583" s="191" t="s">
        <v>828</v>
      </c>
      <c r="B583" s="191" t="s">
        <v>2286</v>
      </c>
    </row>
    <row r="584" spans="1:2" x14ac:dyDescent="0.2">
      <c r="A584" s="191" t="s">
        <v>829</v>
      </c>
      <c r="B584" s="191" t="s">
        <v>2326</v>
      </c>
    </row>
    <row r="585" spans="1:2" x14ac:dyDescent="0.2">
      <c r="A585" s="191" t="s">
        <v>830</v>
      </c>
      <c r="B585" s="191" t="s">
        <v>2327</v>
      </c>
    </row>
    <row r="586" spans="1:2" x14ac:dyDescent="0.2">
      <c r="A586" s="191" t="s">
        <v>831</v>
      </c>
      <c r="B586" s="191" t="s">
        <v>2328</v>
      </c>
    </row>
    <row r="587" spans="1:2" x14ac:dyDescent="0.2">
      <c r="A587" s="191" t="s">
        <v>832</v>
      </c>
      <c r="B587" s="191" t="s">
        <v>2329</v>
      </c>
    </row>
    <row r="588" spans="1:2" x14ac:dyDescent="0.2">
      <c r="A588" s="191" t="s">
        <v>833</v>
      </c>
      <c r="B588" s="191" t="s">
        <v>2330</v>
      </c>
    </row>
    <row r="589" spans="1:2" x14ac:dyDescent="0.2">
      <c r="A589" s="191" t="s">
        <v>834</v>
      </c>
      <c r="B589" s="191" t="s">
        <v>2331</v>
      </c>
    </row>
    <row r="590" spans="1:2" x14ac:dyDescent="0.2">
      <c r="A590" s="191" t="s">
        <v>835</v>
      </c>
      <c r="B590" s="191" t="s">
        <v>2332</v>
      </c>
    </row>
    <row r="591" spans="1:2" x14ac:dyDescent="0.2">
      <c r="A591" s="191" t="s">
        <v>836</v>
      </c>
      <c r="B591" s="191" t="s">
        <v>2333</v>
      </c>
    </row>
    <row r="592" spans="1:2" x14ac:dyDescent="0.2">
      <c r="A592" s="191" t="s">
        <v>837</v>
      </c>
      <c r="B592" s="191" t="s">
        <v>2334</v>
      </c>
    </row>
    <row r="593" spans="1:2" x14ac:dyDescent="0.2">
      <c r="A593" s="191" t="s">
        <v>838</v>
      </c>
      <c r="B593" s="191" t="s">
        <v>2335</v>
      </c>
    </row>
    <row r="594" spans="1:2" x14ac:dyDescent="0.2">
      <c r="A594" s="191" t="s">
        <v>839</v>
      </c>
      <c r="B594" s="191" t="s">
        <v>2336</v>
      </c>
    </row>
    <row r="595" spans="1:2" x14ac:dyDescent="0.2">
      <c r="A595" s="191" t="s">
        <v>840</v>
      </c>
      <c r="B595" s="191" t="s">
        <v>2337</v>
      </c>
    </row>
    <row r="596" spans="1:2" x14ac:dyDescent="0.2">
      <c r="A596" s="191" t="s">
        <v>841</v>
      </c>
      <c r="B596" s="191" t="s">
        <v>2338</v>
      </c>
    </row>
    <row r="597" spans="1:2" x14ac:dyDescent="0.2">
      <c r="A597" s="191" t="s">
        <v>842</v>
      </c>
      <c r="B597" s="191" t="s">
        <v>2339</v>
      </c>
    </row>
    <row r="598" spans="1:2" x14ac:dyDescent="0.2">
      <c r="A598" s="191" t="s">
        <v>843</v>
      </c>
      <c r="B598" s="191" t="s">
        <v>2340</v>
      </c>
    </row>
    <row r="599" spans="1:2" x14ac:dyDescent="0.2">
      <c r="A599" s="191" t="s">
        <v>844</v>
      </c>
      <c r="B599" s="191" t="s">
        <v>2341</v>
      </c>
    </row>
    <row r="600" spans="1:2" x14ac:dyDescent="0.2">
      <c r="A600" s="191" t="s">
        <v>845</v>
      </c>
      <c r="B600" s="191" t="s">
        <v>2342</v>
      </c>
    </row>
    <row r="601" spans="1:2" x14ac:dyDescent="0.2">
      <c r="A601" s="191" t="s">
        <v>846</v>
      </c>
      <c r="B601" s="191" t="s">
        <v>2343</v>
      </c>
    </row>
    <row r="602" spans="1:2" x14ac:dyDescent="0.2">
      <c r="A602" s="191" t="s">
        <v>847</v>
      </c>
      <c r="B602" s="191" t="s">
        <v>2344</v>
      </c>
    </row>
    <row r="603" spans="1:2" x14ac:dyDescent="0.2">
      <c r="A603" s="191" t="s">
        <v>848</v>
      </c>
      <c r="B603" s="191" t="s">
        <v>2345</v>
      </c>
    </row>
    <row r="604" spans="1:2" x14ac:dyDescent="0.2">
      <c r="A604" s="191" t="s">
        <v>849</v>
      </c>
      <c r="B604" s="191" t="s">
        <v>1986</v>
      </c>
    </row>
    <row r="605" spans="1:2" x14ac:dyDescent="0.2">
      <c r="A605" s="191" t="s">
        <v>850</v>
      </c>
      <c r="B605" s="191" t="s">
        <v>2346</v>
      </c>
    </row>
    <row r="606" spans="1:2" x14ac:dyDescent="0.2">
      <c r="A606" s="191" t="s">
        <v>851</v>
      </c>
      <c r="B606" s="191" t="s">
        <v>2347</v>
      </c>
    </row>
    <row r="607" spans="1:2" x14ac:dyDescent="0.2">
      <c r="A607" s="191" t="s">
        <v>852</v>
      </c>
      <c r="B607" s="191" t="s">
        <v>853</v>
      </c>
    </row>
    <row r="608" spans="1:2" x14ac:dyDescent="0.2">
      <c r="A608" s="191" t="s">
        <v>854</v>
      </c>
      <c r="B608" s="191" t="s">
        <v>2030</v>
      </c>
    </row>
    <row r="609" spans="1:2" x14ac:dyDescent="0.2">
      <c r="A609" s="191" t="s">
        <v>855</v>
      </c>
      <c r="B609" s="191" t="s">
        <v>2348</v>
      </c>
    </row>
    <row r="610" spans="1:2" x14ac:dyDescent="0.2">
      <c r="A610" s="191" t="s">
        <v>856</v>
      </c>
      <c r="B610" s="191" t="s">
        <v>2349</v>
      </c>
    </row>
    <row r="611" spans="1:2" x14ac:dyDescent="0.2">
      <c r="A611" s="191" t="s">
        <v>857</v>
      </c>
      <c r="B611" s="191" t="s">
        <v>2350</v>
      </c>
    </row>
    <row r="612" spans="1:2" x14ac:dyDescent="0.2">
      <c r="A612" s="191" t="s">
        <v>858</v>
      </c>
      <c r="B612" s="191" t="s">
        <v>2351</v>
      </c>
    </row>
    <row r="613" spans="1:2" x14ac:dyDescent="0.2">
      <c r="A613" s="191" t="s">
        <v>859</v>
      </c>
      <c r="B613" s="191" t="s">
        <v>2352</v>
      </c>
    </row>
    <row r="614" spans="1:2" x14ac:dyDescent="0.2">
      <c r="A614" s="191" t="s">
        <v>860</v>
      </c>
      <c r="B614" s="191" t="s">
        <v>2353</v>
      </c>
    </row>
    <row r="615" spans="1:2" x14ac:dyDescent="0.2">
      <c r="A615" s="191" t="s">
        <v>861</v>
      </c>
      <c r="B615" s="191" t="s">
        <v>1970</v>
      </c>
    </row>
    <row r="616" spans="1:2" x14ac:dyDescent="0.2">
      <c r="A616" s="191" t="s">
        <v>862</v>
      </c>
      <c r="B616" s="191" t="s">
        <v>2354</v>
      </c>
    </row>
    <row r="617" spans="1:2" x14ac:dyDescent="0.2">
      <c r="A617" s="191" t="s">
        <v>863</v>
      </c>
      <c r="B617" s="191" t="s">
        <v>2355</v>
      </c>
    </row>
    <row r="618" spans="1:2" x14ac:dyDescent="0.2">
      <c r="A618" s="191" t="s">
        <v>864</v>
      </c>
      <c r="B618" s="191" t="s">
        <v>2356</v>
      </c>
    </row>
    <row r="619" spans="1:2" x14ac:dyDescent="0.2">
      <c r="A619" s="191" t="s">
        <v>865</v>
      </c>
      <c r="B619" s="191" t="s">
        <v>2357</v>
      </c>
    </row>
    <row r="620" spans="1:2" x14ac:dyDescent="0.2">
      <c r="A620" s="191" t="s">
        <v>866</v>
      </c>
      <c r="B620" s="191" t="s">
        <v>2358</v>
      </c>
    </row>
    <row r="621" spans="1:2" x14ac:dyDescent="0.2">
      <c r="A621" s="191" t="s">
        <v>867</v>
      </c>
      <c r="B621" s="191" t="s">
        <v>2359</v>
      </c>
    </row>
    <row r="622" spans="1:2" x14ac:dyDescent="0.2">
      <c r="A622" s="191" t="s">
        <v>868</v>
      </c>
      <c r="B622" s="191" t="s">
        <v>2298</v>
      </c>
    </row>
    <row r="623" spans="1:2" x14ac:dyDescent="0.2">
      <c r="A623" s="191" t="s">
        <v>869</v>
      </c>
      <c r="B623" s="191" t="s">
        <v>2360</v>
      </c>
    </row>
    <row r="624" spans="1:2" x14ac:dyDescent="0.2">
      <c r="A624" s="191" t="s">
        <v>870</v>
      </c>
      <c r="B624" s="191" t="s">
        <v>2236</v>
      </c>
    </row>
    <row r="625" spans="1:2" x14ac:dyDescent="0.2">
      <c r="A625" s="191" t="s">
        <v>871</v>
      </c>
      <c r="B625" s="191" t="s">
        <v>2288</v>
      </c>
    </row>
    <row r="626" spans="1:2" x14ac:dyDescent="0.2">
      <c r="A626" s="191" t="s">
        <v>872</v>
      </c>
      <c r="B626" s="191" t="s">
        <v>2361</v>
      </c>
    </row>
    <row r="627" spans="1:2" x14ac:dyDescent="0.2">
      <c r="A627" s="191" t="s">
        <v>873</v>
      </c>
      <c r="B627" s="191" t="s">
        <v>2362</v>
      </c>
    </row>
    <row r="628" spans="1:2" x14ac:dyDescent="0.2">
      <c r="A628" s="191" t="s">
        <v>874</v>
      </c>
      <c r="B628" s="191" t="s">
        <v>2080</v>
      </c>
    </row>
    <row r="629" spans="1:2" x14ac:dyDescent="0.2">
      <c r="A629" s="191" t="s">
        <v>875</v>
      </c>
      <c r="B629" s="191" t="s">
        <v>2363</v>
      </c>
    </row>
    <row r="630" spans="1:2" x14ac:dyDescent="0.2">
      <c r="A630" s="191" t="s">
        <v>876</v>
      </c>
      <c r="B630" s="191" t="s">
        <v>2364</v>
      </c>
    </row>
    <row r="631" spans="1:2" x14ac:dyDescent="0.2">
      <c r="A631" s="191" t="s">
        <v>877</v>
      </c>
      <c r="B631" s="191" t="s">
        <v>2365</v>
      </c>
    </row>
    <row r="632" spans="1:2" x14ac:dyDescent="0.2">
      <c r="A632" s="191" t="s">
        <v>878</v>
      </c>
      <c r="B632" s="191" t="s">
        <v>2366</v>
      </c>
    </row>
    <row r="633" spans="1:2" x14ac:dyDescent="0.2">
      <c r="A633" s="191" t="s">
        <v>879</v>
      </c>
      <c r="B633" s="191" t="s">
        <v>2367</v>
      </c>
    </row>
    <row r="634" spans="1:2" x14ac:dyDescent="0.2">
      <c r="A634" s="191" t="s">
        <v>880</v>
      </c>
      <c r="B634" s="191" t="s">
        <v>2368</v>
      </c>
    </row>
    <row r="635" spans="1:2" x14ac:dyDescent="0.2">
      <c r="A635" s="191" t="s">
        <v>881</v>
      </c>
      <c r="B635" s="191" t="s">
        <v>2369</v>
      </c>
    </row>
    <row r="636" spans="1:2" x14ac:dyDescent="0.2">
      <c r="A636" s="191" t="s">
        <v>882</v>
      </c>
      <c r="B636" s="191" t="s">
        <v>2370</v>
      </c>
    </row>
    <row r="637" spans="1:2" x14ac:dyDescent="0.2">
      <c r="A637" s="191" t="s">
        <v>883</v>
      </c>
      <c r="B637" s="191" t="s">
        <v>2371</v>
      </c>
    </row>
    <row r="638" spans="1:2" x14ac:dyDescent="0.2">
      <c r="A638" s="191" t="s">
        <v>884</v>
      </c>
      <c r="B638" s="191" t="s">
        <v>2372</v>
      </c>
    </row>
    <row r="639" spans="1:2" x14ac:dyDescent="0.2">
      <c r="A639" s="191" t="s">
        <v>885</v>
      </c>
      <c r="B639" s="191" t="s">
        <v>2373</v>
      </c>
    </row>
    <row r="640" spans="1:2" x14ac:dyDescent="0.2">
      <c r="A640" s="191" t="s">
        <v>886</v>
      </c>
      <c r="B640" s="191" t="s">
        <v>2374</v>
      </c>
    </row>
    <row r="641" spans="1:2" x14ac:dyDescent="0.2">
      <c r="A641" s="191" t="s">
        <v>887</v>
      </c>
      <c r="B641" s="191" t="s">
        <v>2375</v>
      </c>
    </row>
    <row r="642" spans="1:2" x14ac:dyDescent="0.2">
      <c r="A642" s="191" t="s">
        <v>888</v>
      </c>
      <c r="B642" s="191" t="s">
        <v>2376</v>
      </c>
    </row>
    <row r="643" spans="1:2" x14ac:dyDescent="0.2">
      <c r="A643" s="191" t="s">
        <v>889</v>
      </c>
      <c r="B643" s="191" t="s">
        <v>2377</v>
      </c>
    </row>
    <row r="644" spans="1:2" x14ac:dyDescent="0.2">
      <c r="A644" s="191" t="s">
        <v>890</v>
      </c>
      <c r="B644" s="191" t="s">
        <v>1997</v>
      </c>
    </row>
    <row r="645" spans="1:2" x14ac:dyDescent="0.2">
      <c r="A645" s="191" t="s">
        <v>891</v>
      </c>
      <c r="B645" s="191" t="s">
        <v>2378</v>
      </c>
    </row>
    <row r="646" spans="1:2" x14ac:dyDescent="0.2">
      <c r="A646" s="191" t="s">
        <v>892</v>
      </c>
      <c r="B646" s="191" t="s">
        <v>2379</v>
      </c>
    </row>
    <row r="647" spans="1:2" x14ac:dyDescent="0.2">
      <c r="A647" s="191" t="s">
        <v>893</v>
      </c>
      <c r="B647" s="191" t="s">
        <v>2380</v>
      </c>
    </row>
    <row r="648" spans="1:2" x14ac:dyDescent="0.2">
      <c r="A648" s="191" t="s">
        <v>894</v>
      </c>
      <c r="B648" s="191" t="s">
        <v>2381</v>
      </c>
    </row>
    <row r="649" spans="1:2" x14ac:dyDescent="0.2">
      <c r="A649" s="191" t="s">
        <v>895</v>
      </c>
      <c r="B649" s="191" t="s">
        <v>2382</v>
      </c>
    </row>
    <row r="650" spans="1:2" x14ac:dyDescent="0.2">
      <c r="A650" s="191" t="s">
        <v>896</v>
      </c>
      <c r="B650" s="191" t="s">
        <v>2383</v>
      </c>
    </row>
    <row r="651" spans="1:2" x14ac:dyDescent="0.2">
      <c r="A651" s="191" t="s">
        <v>897</v>
      </c>
      <c r="B651" s="191" t="s">
        <v>2384</v>
      </c>
    </row>
    <row r="652" spans="1:2" x14ac:dyDescent="0.2">
      <c r="A652" s="191" t="s">
        <v>898</v>
      </c>
      <c r="B652" s="191" t="s">
        <v>2385</v>
      </c>
    </row>
    <row r="653" spans="1:2" x14ac:dyDescent="0.2">
      <c r="A653" s="191" t="s">
        <v>899</v>
      </c>
      <c r="B653" s="191" t="s">
        <v>2386</v>
      </c>
    </row>
    <row r="654" spans="1:2" x14ac:dyDescent="0.2">
      <c r="A654" s="191" t="s">
        <v>900</v>
      </c>
      <c r="B654" s="191" t="s">
        <v>2387</v>
      </c>
    </row>
    <row r="655" spans="1:2" x14ac:dyDescent="0.2">
      <c r="A655" s="191" t="s">
        <v>901</v>
      </c>
      <c r="B655" s="191" t="s">
        <v>2388</v>
      </c>
    </row>
    <row r="656" spans="1:2" x14ac:dyDescent="0.2">
      <c r="A656" s="191" t="s">
        <v>902</v>
      </c>
      <c r="B656" s="191" t="s">
        <v>2389</v>
      </c>
    </row>
    <row r="657" spans="1:2" x14ac:dyDescent="0.2">
      <c r="A657" s="191" t="s">
        <v>903</v>
      </c>
      <c r="B657" s="191" t="s">
        <v>2390</v>
      </c>
    </row>
    <row r="658" spans="1:2" x14ac:dyDescent="0.2">
      <c r="A658" s="191" t="s">
        <v>904</v>
      </c>
      <c r="B658" s="191" t="s">
        <v>2391</v>
      </c>
    </row>
    <row r="659" spans="1:2" x14ac:dyDescent="0.2">
      <c r="A659" s="191" t="s">
        <v>905</v>
      </c>
      <c r="B659" s="191" t="s">
        <v>2392</v>
      </c>
    </row>
    <row r="660" spans="1:2" x14ac:dyDescent="0.2">
      <c r="A660" s="191" t="s">
        <v>906</v>
      </c>
      <c r="B660" s="191" t="s">
        <v>2393</v>
      </c>
    </row>
    <row r="661" spans="1:2" x14ac:dyDescent="0.2">
      <c r="A661" s="191" t="s">
        <v>907</v>
      </c>
      <c r="B661" s="191" t="s">
        <v>2394</v>
      </c>
    </row>
    <row r="662" spans="1:2" x14ac:dyDescent="0.2">
      <c r="A662" s="191" t="s">
        <v>908</v>
      </c>
      <c r="B662" s="191" t="s">
        <v>1992</v>
      </c>
    </row>
    <row r="663" spans="1:2" x14ac:dyDescent="0.2">
      <c r="A663" s="191" t="s">
        <v>909</v>
      </c>
      <c r="B663" s="191" t="s">
        <v>2212</v>
      </c>
    </row>
    <row r="664" spans="1:2" x14ac:dyDescent="0.2">
      <c r="A664" s="191" t="s">
        <v>910</v>
      </c>
      <c r="B664" s="191" t="s">
        <v>2395</v>
      </c>
    </row>
    <row r="665" spans="1:2" x14ac:dyDescent="0.2">
      <c r="A665" s="191" t="s">
        <v>911</v>
      </c>
      <c r="B665" s="191" t="s">
        <v>2396</v>
      </c>
    </row>
    <row r="666" spans="1:2" x14ac:dyDescent="0.2">
      <c r="A666" s="191" t="s">
        <v>912</v>
      </c>
      <c r="B666" s="191" t="s">
        <v>2397</v>
      </c>
    </row>
    <row r="667" spans="1:2" x14ac:dyDescent="0.2">
      <c r="A667" s="191" t="s">
        <v>913</v>
      </c>
      <c r="B667" s="191" t="s">
        <v>2398</v>
      </c>
    </row>
    <row r="668" spans="1:2" x14ac:dyDescent="0.2">
      <c r="A668" s="191" t="s">
        <v>914</v>
      </c>
      <c r="B668" s="191" t="s">
        <v>2399</v>
      </c>
    </row>
    <row r="669" spans="1:2" x14ac:dyDescent="0.2">
      <c r="A669" s="191" t="s">
        <v>915</v>
      </c>
      <c r="B669" s="191" t="s">
        <v>2400</v>
      </c>
    </row>
    <row r="670" spans="1:2" x14ac:dyDescent="0.2">
      <c r="A670" s="191" t="s">
        <v>916</v>
      </c>
      <c r="B670" s="191" t="s">
        <v>2401</v>
      </c>
    </row>
    <row r="671" spans="1:2" x14ac:dyDescent="0.2">
      <c r="A671" s="191" t="s">
        <v>917</v>
      </c>
      <c r="B671" s="191" t="s">
        <v>2286</v>
      </c>
    </row>
    <row r="672" spans="1:2" x14ac:dyDescent="0.2">
      <c r="A672" s="191" t="s">
        <v>918</v>
      </c>
      <c r="B672" s="191" t="s">
        <v>2402</v>
      </c>
    </row>
    <row r="673" spans="1:2" x14ac:dyDescent="0.2">
      <c r="A673" s="191" t="s">
        <v>1744</v>
      </c>
      <c r="B673" s="191" t="s">
        <v>2403</v>
      </c>
    </row>
    <row r="674" spans="1:2" x14ac:dyDescent="0.2">
      <c r="A674" s="191" t="s">
        <v>919</v>
      </c>
      <c r="B674" s="191" t="s">
        <v>2404</v>
      </c>
    </row>
    <row r="675" spans="1:2" x14ac:dyDescent="0.2">
      <c r="A675" s="191" t="s">
        <v>920</v>
      </c>
      <c r="B675" s="191" t="s">
        <v>2405</v>
      </c>
    </row>
    <row r="676" spans="1:2" x14ac:dyDescent="0.2">
      <c r="A676" s="191" t="s">
        <v>921</v>
      </c>
      <c r="B676" s="191" t="s">
        <v>2406</v>
      </c>
    </row>
    <row r="677" spans="1:2" x14ac:dyDescent="0.2">
      <c r="A677" s="191" t="s">
        <v>922</v>
      </c>
      <c r="B677" s="191" t="s">
        <v>2407</v>
      </c>
    </row>
    <row r="678" spans="1:2" x14ac:dyDescent="0.2">
      <c r="A678" s="191" t="s">
        <v>923</v>
      </c>
      <c r="B678" s="191" t="s">
        <v>2408</v>
      </c>
    </row>
    <row r="679" spans="1:2" x14ac:dyDescent="0.2">
      <c r="A679" s="191" t="s">
        <v>924</v>
      </c>
      <c r="B679" s="191" t="s">
        <v>2409</v>
      </c>
    </row>
    <row r="680" spans="1:2" x14ac:dyDescent="0.2">
      <c r="A680" s="191" t="s">
        <v>925</v>
      </c>
      <c r="B680" s="191" t="s">
        <v>2410</v>
      </c>
    </row>
    <row r="681" spans="1:2" x14ac:dyDescent="0.2">
      <c r="A681" s="191" t="s">
        <v>926</v>
      </c>
      <c r="B681" s="191" t="s">
        <v>2411</v>
      </c>
    </row>
    <row r="682" spans="1:2" x14ac:dyDescent="0.2">
      <c r="A682" s="191" t="s">
        <v>927</v>
      </c>
      <c r="B682" s="191" t="s">
        <v>2412</v>
      </c>
    </row>
    <row r="683" spans="1:2" x14ac:dyDescent="0.2">
      <c r="A683" s="191" t="s">
        <v>928</v>
      </c>
      <c r="B683" s="191" t="s">
        <v>2413</v>
      </c>
    </row>
    <row r="684" spans="1:2" x14ac:dyDescent="0.2">
      <c r="A684" s="191" t="s">
        <v>929</v>
      </c>
      <c r="B684" s="191" t="s">
        <v>2414</v>
      </c>
    </row>
    <row r="685" spans="1:2" x14ac:dyDescent="0.2">
      <c r="A685" s="191" t="s">
        <v>930</v>
      </c>
      <c r="B685" s="191" t="s">
        <v>2415</v>
      </c>
    </row>
    <row r="686" spans="1:2" x14ac:dyDescent="0.2">
      <c r="A686" s="191" t="s">
        <v>931</v>
      </c>
      <c r="B686" s="191" t="s">
        <v>2416</v>
      </c>
    </row>
    <row r="687" spans="1:2" x14ac:dyDescent="0.2">
      <c r="A687" s="191" t="s">
        <v>932</v>
      </c>
      <c r="B687" s="191" t="s">
        <v>2417</v>
      </c>
    </row>
    <row r="688" spans="1:2" x14ac:dyDescent="0.2">
      <c r="A688" s="191" t="s">
        <v>933</v>
      </c>
      <c r="B688" s="191" t="s">
        <v>2418</v>
      </c>
    </row>
    <row r="689" spans="1:2" x14ac:dyDescent="0.2">
      <c r="A689" s="191" t="s">
        <v>934</v>
      </c>
      <c r="B689" s="191" t="s">
        <v>2419</v>
      </c>
    </row>
    <row r="690" spans="1:2" x14ac:dyDescent="0.2">
      <c r="A690" s="191" t="s">
        <v>935</v>
      </c>
      <c r="B690" s="191" t="s">
        <v>2420</v>
      </c>
    </row>
    <row r="691" spans="1:2" x14ac:dyDescent="0.2">
      <c r="A691" s="191" t="s">
        <v>936</v>
      </c>
      <c r="B691" s="191" t="s">
        <v>2421</v>
      </c>
    </row>
    <row r="692" spans="1:2" x14ac:dyDescent="0.2">
      <c r="A692" s="191" t="s">
        <v>937</v>
      </c>
      <c r="B692" s="191" t="s">
        <v>2422</v>
      </c>
    </row>
    <row r="693" spans="1:2" x14ac:dyDescent="0.2">
      <c r="A693" s="191" t="s">
        <v>938</v>
      </c>
      <c r="B693" s="191" t="s">
        <v>1964</v>
      </c>
    </row>
    <row r="694" spans="1:2" x14ac:dyDescent="0.2">
      <c r="A694" s="191" t="s">
        <v>939</v>
      </c>
      <c r="B694" s="191" t="s">
        <v>2423</v>
      </c>
    </row>
    <row r="695" spans="1:2" x14ac:dyDescent="0.2">
      <c r="A695" s="191" t="s">
        <v>940</v>
      </c>
      <c r="B695" s="191" t="s">
        <v>2424</v>
      </c>
    </row>
    <row r="696" spans="1:2" x14ac:dyDescent="0.2">
      <c r="A696" s="191" t="s">
        <v>941</v>
      </c>
      <c r="B696" s="191" t="s">
        <v>2425</v>
      </c>
    </row>
    <row r="697" spans="1:2" x14ac:dyDescent="0.2">
      <c r="A697" s="191" t="s">
        <v>942</v>
      </c>
      <c r="B697" s="191" t="s">
        <v>2426</v>
      </c>
    </row>
    <row r="698" spans="1:2" x14ac:dyDescent="0.2">
      <c r="A698" s="191" t="s">
        <v>943</v>
      </c>
      <c r="B698" s="191" t="s">
        <v>2427</v>
      </c>
    </row>
    <row r="699" spans="1:2" x14ac:dyDescent="0.2">
      <c r="A699" s="191" t="s">
        <v>944</v>
      </c>
      <c r="B699" s="191" t="s">
        <v>2428</v>
      </c>
    </row>
    <row r="700" spans="1:2" x14ac:dyDescent="0.2">
      <c r="A700" s="191" t="s">
        <v>945</v>
      </c>
      <c r="B700" s="191" t="s">
        <v>2429</v>
      </c>
    </row>
    <row r="701" spans="1:2" x14ac:dyDescent="0.2">
      <c r="A701" s="191" t="s">
        <v>946</v>
      </c>
      <c r="B701" s="191" t="s">
        <v>2430</v>
      </c>
    </row>
    <row r="702" spans="1:2" x14ac:dyDescent="0.2">
      <c r="A702" s="191" t="s">
        <v>947</v>
      </c>
      <c r="B702" s="191" t="s">
        <v>2431</v>
      </c>
    </row>
    <row r="703" spans="1:2" x14ac:dyDescent="0.2">
      <c r="A703" s="191" t="s">
        <v>948</v>
      </c>
      <c r="B703" s="191" t="s">
        <v>2432</v>
      </c>
    </row>
    <row r="704" spans="1:2" x14ac:dyDescent="0.2">
      <c r="A704" s="191" t="s">
        <v>949</v>
      </c>
      <c r="B704" s="191" t="s">
        <v>2433</v>
      </c>
    </row>
    <row r="705" spans="1:2" x14ac:dyDescent="0.2">
      <c r="A705" s="191" t="s">
        <v>950</v>
      </c>
      <c r="B705" s="191" t="s">
        <v>2434</v>
      </c>
    </row>
    <row r="706" spans="1:2" x14ac:dyDescent="0.2">
      <c r="A706" s="191" t="s">
        <v>951</v>
      </c>
      <c r="B706" s="191" t="s">
        <v>2435</v>
      </c>
    </row>
    <row r="707" spans="1:2" x14ac:dyDescent="0.2">
      <c r="A707" s="191" t="s">
        <v>952</v>
      </c>
      <c r="B707" s="191" t="s">
        <v>2436</v>
      </c>
    </row>
    <row r="708" spans="1:2" x14ac:dyDescent="0.2">
      <c r="A708" s="191" t="s">
        <v>953</v>
      </c>
      <c r="B708" s="191" t="s">
        <v>2437</v>
      </c>
    </row>
    <row r="709" spans="1:2" x14ac:dyDescent="0.2">
      <c r="A709" s="191" t="s">
        <v>954</v>
      </c>
      <c r="B709" s="191" t="s">
        <v>2438</v>
      </c>
    </row>
    <row r="710" spans="1:2" x14ac:dyDescent="0.2">
      <c r="A710" s="191" t="s">
        <v>955</v>
      </c>
      <c r="B710" s="191" t="s">
        <v>2439</v>
      </c>
    </row>
    <row r="711" spans="1:2" x14ac:dyDescent="0.2">
      <c r="A711" s="191" t="s">
        <v>956</v>
      </c>
      <c r="B711" s="191" t="s">
        <v>2440</v>
      </c>
    </row>
    <row r="712" spans="1:2" x14ac:dyDescent="0.2">
      <c r="A712" s="191" t="s">
        <v>957</v>
      </c>
      <c r="B712" s="191" t="s">
        <v>2441</v>
      </c>
    </row>
    <row r="713" spans="1:2" x14ac:dyDescent="0.2">
      <c r="A713" s="191" t="s">
        <v>958</v>
      </c>
      <c r="B713" s="191" t="s">
        <v>2442</v>
      </c>
    </row>
    <row r="714" spans="1:2" x14ac:dyDescent="0.2">
      <c r="A714" s="191" t="s">
        <v>959</v>
      </c>
      <c r="B714" s="191" t="s">
        <v>2443</v>
      </c>
    </row>
    <row r="715" spans="1:2" x14ac:dyDescent="0.2">
      <c r="A715" s="191" t="s">
        <v>960</v>
      </c>
      <c r="B715" s="191" t="s">
        <v>2444</v>
      </c>
    </row>
    <row r="716" spans="1:2" x14ac:dyDescent="0.2">
      <c r="A716" s="191" t="s">
        <v>961</v>
      </c>
      <c r="B716" s="191" t="s">
        <v>2445</v>
      </c>
    </row>
    <row r="717" spans="1:2" x14ac:dyDescent="0.2">
      <c r="A717" s="191" t="s">
        <v>962</v>
      </c>
      <c r="B717" s="191" t="s">
        <v>2446</v>
      </c>
    </row>
    <row r="718" spans="1:2" x14ac:dyDescent="0.2">
      <c r="A718" s="191" t="s">
        <v>963</v>
      </c>
      <c r="B718" s="191" t="s">
        <v>2447</v>
      </c>
    </row>
    <row r="719" spans="1:2" x14ac:dyDescent="0.2">
      <c r="A719" s="191" t="s">
        <v>964</v>
      </c>
      <c r="B719" s="191" t="s">
        <v>2448</v>
      </c>
    </row>
    <row r="720" spans="1:2" x14ac:dyDescent="0.2">
      <c r="A720" s="191" t="s">
        <v>965</v>
      </c>
      <c r="B720" s="191" t="s">
        <v>2449</v>
      </c>
    </row>
    <row r="721" spans="1:2" x14ac:dyDescent="0.2">
      <c r="A721" s="191" t="s">
        <v>966</v>
      </c>
      <c r="B721" s="191" t="s">
        <v>2286</v>
      </c>
    </row>
    <row r="722" spans="1:2" x14ac:dyDescent="0.2">
      <c r="A722" s="191" t="s">
        <v>967</v>
      </c>
      <c r="B722" s="191" t="s">
        <v>2450</v>
      </c>
    </row>
    <row r="723" spans="1:2" x14ac:dyDescent="0.2">
      <c r="A723" s="191" t="s">
        <v>968</v>
      </c>
      <c r="B723" s="191" t="s">
        <v>2451</v>
      </c>
    </row>
    <row r="724" spans="1:2" x14ac:dyDescent="0.2">
      <c r="A724" s="191" t="s">
        <v>969</v>
      </c>
      <c r="B724" s="191" t="s">
        <v>2452</v>
      </c>
    </row>
    <row r="725" spans="1:2" x14ac:dyDescent="0.2">
      <c r="A725" s="191" t="s">
        <v>970</v>
      </c>
      <c r="B725" s="191" t="s">
        <v>2453</v>
      </c>
    </row>
    <row r="726" spans="1:2" x14ac:dyDescent="0.2">
      <c r="A726" s="191" t="s">
        <v>971</v>
      </c>
      <c r="B726" s="191" t="s">
        <v>2391</v>
      </c>
    </row>
    <row r="727" spans="1:2" x14ac:dyDescent="0.2">
      <c r="A727" s="191" t="s">
        <v>972</v>
      </c>
      <c r="B727" s="191" t="s">
        <v>2454</v>
      </c>
    </row>
    <row r="728" spans="1:2" x14ac:dyDescent="0.2">
      <c r="A728" s="191" t="s">
        <v>973</v>
      </c>
      <c r="B728" s="191" t="s">
        <v>2455</v>
      </c>
    </row>
    <row r="729" spans="1:2" x14ac:dyDescent="0.2">
      <c r="A729" s="191" t="s">
        <v>974</v>
      </c>
      <c r="B729" s="191" t="s">
        <v>2456</v>
      </c>
    </row>
    <row r="730" spans="1:2" x14ac:dyDescent="0.2">
      <c r="A730" s="191" t="s">
        <v>975</v>
      </c>
      <c r="B730" s="191" t="s">
        <v>2457</v>
      </c>
    </row>
    <row r="731" spans="1:2" x14ac:dyDescent="0.2">
      <c r="A731" s="191" t="s">
        <v>976</v>
      </c>
      <c r="B731" s="191" t="s">
        <v>2458</v>
      </c>
    </row>
    <row r="732" spans="1:2" x14ac:dyDescent="0.2">
      <c r="A732" s="191" t="s">
        <v>977</v>
      </c>
      <c r="B732" s="191" t="s">
        <v>2459</v>
      </c>
    </row>
    <row r="733" spans="1:2" x14ac:dyDescent="0.2">
      <c r="A733" s="191" t="s">
        <v>978</v>
      </c>
      <c r="B733" s="191" t="s">
        <v>2460</v>
      </c>
    </row>
    <row r="734" spans="1:2" x14ac:dyDescent="0.2">
      <c r="A734" s="191" t="s">
        <v>979</v>
      </c>
      <c r="B734" s="191" t="s">
        <v>2461</v>
      </c>
    </row>
    <row r="735" spans="1:2" x14ac:dyDescent="0.2">
      <c r="A735" s="191" t="s">
        <v>980</v>
      </c>
      <c r="B735" s="191" t="s">
        <v>2462</v>
      </c>
    </row>
    <row r="736" spans="1:2" x14ac:dyDescent="0.2">
      <c r="A736" s="191" t="s">
        <v>981</v>
      </c>
      <c r="B736" s="191" t="s">
        <v>2463</v>
      </c>
    </row>
    <row r="737" spans="1:2" x14ac:dyDescent="0.2">
      <c r="A737" s="191" t="s">
        <v>982</v>
      </c>
      <c r="B737" s="191" t="s">
        <v>2464</v>
      </c>
    </row>
    <row r="738" spans="1:2" x14ac:dyDescent="0.2">
      <c r="A738" s="191" t="s">
        <v>983</v>
      </c>
      <c r="B738" s="191" t="s">
        <v>2465</v>
      </c>
    </row>
    <row r="739" spans="1:2" x14ac:dyDescent="0.2">
      <c r="A739" s="191" t="s">
        <v>984</v>
      </c>
      <c r="B739" s="191" t="s">
        <v>2466</v>
      </c>
    </row>
    <row r="740" spans="1:2" x14ac:dyDescent="0.2">
      <c r="A740" s="191" t="s">
        <v>985</v>
      </c>
      <c r="B740" s="191" t="s">
        <v>2467</v>
      </c>
    </row>
    <row r="741" spans="1:2" x14ac:dyDescent="0.2">
      <c r="A741" s="191" t="s">
        <v>986</v>
      </c>
      <c r="B741" s="191" t="s">
        <v>2468</v>
      </c>
    </row>
    <row r="742" spans="1:2" x14ac:dyDescent="0.2">
      <c r="A742" s="191" t="s">
        <v>987</v>
      </c>
      <c r="B742" s="191" t="s">
        <v>1796</v>
      </c>
    </row>
    <row r="743" spans="1:2" x14ac:dyDescent="0.2">
      <c r="A743" s="191" t="s">
        <v>988</v>
      </c>
      <c r="B743" s="191" t="s">
        <v>2236</v>
      </c>
    </row>
    <row r="744" spans="1:2" x14ac:dyDescent="0.2">
      <c r="A744" s="191" t="s">
        <v>989</v>
      </c>
      <c r="B744" s="191" t="s">
        <v>2469</v>
      </c>
    </row>
    <row r="745" spans="1:2" x14ac:dyDescent="0.2">
      <c r="A745" s="191" t="s">
        <v>990</v>
      </c>
      <c r="B745" s="191" t="s">
        <v>2470</v>
      </c>
    </row>
    <row r="746" spans="1:2" x14ac:dyDescent="0.2">
      <c r="A746" s="191" t="s">
        <v>991</v>
      </c>
      <c r="B746" s="191" t="s">
        <v>2471</v>
      </c>
    </row>
    <row r="747" spans="1:2" x14ac:dyDescent="0.2">
      <c r="A747" s="191" t="s">
        <v>992</v>
      </c>
      <c r="B747" s="191" t="s">
        <v>2472</v>
      </c>
    </row>
    <row r="748" spans="1:2" x14ac:dyDescent="0.2">
      <c r="A748" s="191" t="s">
        <v>993</v>
      </c>
      <c r="B748" s="191" t="s">
        <v>2473</v>
      </c>
    </row>
    <row r="749" spans="1:2" x14ac:dyDescent="0.2">
      <c r="A749" s="191" t="s">
        <v>994</v>
      </c>
      <c r="B749" s="191" t="s">
        <v>2474</v>
      </c>
    </row>
    <row r="750" spans="1:2" x14ac:dyDescent="0.2">
      <c r="A750" s="191" t="s">
        <v>995</v>
      </c>
      <c r="B750" s="191" t="s">
        <v>2475</v>
      </c>
    </row>
    <row r="751" spans="1:2" x14ac:dyDescent="0.2">
      <c r="A751" s="191" t="s">
        <v>996</v>
      </c>
      <c r="B751" s="191" t="s">
        <v>2476</v>
      </c>
    </row>
    <row r="752" spans="1:2" x14ac:dyDescent="0.2">
      <c r="A752" s="191" t="s">
        <v>997</v>
      </c>
      <c r="B752" s="191" t="s">
        <v>2477</v>
      </c>
    </row>
    <row r="753" spans="1:2" x14ac:dyDescent="0.2">
      <c r="A753" s="191" t="s">
        <v>998</v>
      </c>
      <c r="B753" s="191" t="s">
        <v>2478</v>
      </c>
    </row>
    <row r="754" spans="1:2" x14ac:dyDescent="0.2">
      <c r="A754" s="191" t="s">
        <v>999</v>
      </c>
      <c r="B754" s="191" t="s">
        <v>2190</v>
      </c>
    </row>
    <row r="755" spans="1:2" x14ac:dyDescent="0.2">
      <c r="A755" s="191" t="s">
        <v>1000</v>
      </c>
      <c r="B755" s="191" t="s">
        <v>2479</v>
      </c>
    </row>
    <row r="756" spans="1:2" x14ac:dyDescent="0.2">
      <c r="A756" s="191" t="s">
        <v>1001</v>
      </c>
      <c r="B756" s="191" t="s">
        <v>2480</v>
      </c>
    </row>
    <row r="757" spans="1:2" x14ac:dyDescent="0.2">
      <c r="A757" s="191" t="s">
        <v>1002</v>
      </c>
      <c r="B757" s="191" t="s">
        <v>2481</v>
      </c>
    </row>
    <row r="758" spans="1:2" x14ac:dyDescent="0.2">
      <c r="A758" s="191" t="s">
        <v>1003</v>
      </c>
      <c r="B758" s="191" t="s">
        <v>2482</v>
      </c>
    </row>
    <row r="759" spans="1:2" x14ac:dyDescent="0.2">
      <c r="A759" s="191" t="s">
        <v>1004</v>
      </c>
      <c r="B759" s="191" t="s">
        <v>2483</v>
      </c>
    </row>
    <row r="760" spans="1:2" x14ac:dyDescent="0.2">
      <c r="A760" s="191" t="s">
        <v>1005</v>
      </c>
      <c r="B760" s="191" t="s">
        <v>2484</v>
      </c>
    </row>
    <row r="761" spans="1:2" x14ac:dyDescent="0.2">
      <c r="A761" s="191" t="s">
        <v>1006</v>
      </c>
      <c r="B761" s="191" t="s">
        <v>2485</v>
      </c>
    </row>
    <row r="762" spans="1:2" x14ac:dyDescent="0.2">
      <c r="A762" s="191" t="s">
        <v>1007</v>
      </c>
      <c r="B762" s="191" t="s">
        <v>2486</v>
      </c>
    </row>
    <row r="763" spans="1:2" x14ac:dyDescent="0.2">
      <c r="A763" s="191" t="s">
        <v>1008</v>
      </c>
      <c r="B763" s="191" t="s">
        <v>2487</v>
      </c>
    </row>
    <row r="764" spans="1:2" x14ac:dyDescent="0.2">
      <c r="A764" s="191" t="s">
        <v>1009</v>
      </c>
      <c r="B764" s="191" t="s">
        <v>2488</v>
      </c>
    </row>
    <row r="765" spans="1:2" x14ac:dyDescent="0.2">
      <c r="A765" s="191" t="s">
        <v>1010</v>
      </c>
      <c r="B765" s="191" t="s">
        <v>2489</v>
      </c>
    </row>
    <row r="766" spans="1:2" x14ac:dyDescent="0.2">
      <c r="A766" s="191" t="s">
        <v>1011</v>
      </c>
      <c r="B766" s="191" t="s">
        <v>2490</v>
      </c>
    </row>
    <row r="767" spans="1:2" x14ac:dyDescent="0.2">
      <c r="A767" s="191" t="s">
        <v>1012</v>
      </c>
      <c r="B767" s="191" t="s">
        <v>2491</v>
      </c>
    </row>
    <row r="768" spans="1:2" x14ac:dyDescent="0.2">
      <c r="A768" s="191" t="s">
        <v>1013</v>
      </c>
      <c r="B768" s="191" t="s">
        <v>2492</v>
      </c>
    </row>
    <row r="769" spans="1:2" x14ac:dyDescent="0.2">
      <c r="A769" s="191" t="s">
        <v>1014</v>
      </c>
      <c r="B769" s="191" t="s">
        <v>2493</v>
      </c>
    </row>
    <row r="770" spans="1:2" x14ac:dyDescent="0.2">
      <c r="A770" s="191" t="s">
        <v>1015</v>
      </c>
      <c r="B770" s="191" t="s">
        <v>2494</v>
      </c>
    </row>
    <row r="771" spans="1:2" x14ac:dyDescent="0.2">
      <c r="A771" s="191" t="s">
        <v>1016</v>
      </c>
      <c r="B771" s="191" t="s">
        <v>2495</v>
      </c>
    </row>
    <row r="772" spans="1:2" x14ac:dyDescent="0.2">
      <c r="A772" s="191" t="s">
        <v>1017</v>
      </c>
      <c r="B772" s="191" t="s">
        <v>2496</v>
      </c>
    </row>
    <row r="773" spans="1:2" x14ac:dyDescent="0.2">
      <c r="A773" s="191" t="s">
        <v>1018</v>
      </c>
      <c r="B773" s="191" t="s">
        <v>2497</v>
      </c>
    </row>
    <row r="774" spans="1:2" x14ac:dyDescent="0.2">
      <c r="A774" s="191" t="s">
        <v>1019</v>
      </c>
      <c r="B774" s="191" t="s">
        <v>2498</v>
      </c>
    </row>
    <row r="775" spans="1:2" x14ac:dyDescent="0.2">
      <c r="A775" s="191" t="s">
        <v>1020</v>
      </c>
      <c r="B775" s="191" t="s">
        <v>2499</v>
      </c>
    </row>
    <row r="776" spans="1:2" x14ac:dyDescent="0.2">
      <c r="A776" s="191" t="s">
        <v>1021</v>
      </c>
      <c r="B776" s="191" t="s">
        <v>2500</v>
      </c>
    </row>
    <row r="777" spans="1:2" x14ac:dyDescent="0.2">
      <c r="A777" s="191" t="s">
        <v>1022</v>
      </c>
      <c r="B777" s="191" t="s">
        <v>2501</v>
      </c>
    </row>
    <row r="778" spans="1:2" x14ac:dyDescent="0.2">
      <c r="A778" s="191" t="s">
        <v>1023</v>
      </c>
      <c r="B778" s="191" t="s">
        <v>2502</v>
      </c>
    </row>
    <row r="779" spans="1:2" x14ac:dyDescent="0.2">
      <c r="A779" s="191" t="s">
        <v>1024</v>
      </c>
      <c r="B779" s="191" t="s">
        <v>2503</v>
      </c>
    </row>
    <row r="780" spans="1:2" x14ac:dyDescent="0.2">
      <c r="A780" s="191" t="s">
        <v>1025</v>
      </c>
      <c r="B780" s="191" t="s">
        <v>2504</v>
      </c>
    </row>
    <row r="781" spans="1:2" x14ac:dyDescent="0.2">
      <c r="A781" s="191" t="s">
        <v>1026</v>
      </c>
      <c r="B781" s="191" t="s">
        <v>2505</v>
      </c>
    </row>
    <row r="782" spans="1:2" x14ac:dyDescent="0.2">
      <c r="A782" s="191" t="s">
        <v>1027</v>
      </c>
      <c r="B782" s="191" t="s">
        <v>2506</v>
      </c>
    </row>
    <row r="783" spans="1:2" x14ac:dyDescent="0.2">
      <c r="A783" s="191" t="s">
        <v>1028</v>
      </c>
      <c r="B783" s="191" t="s">
        <v>2507</v>
      </c>
    </row>
    <row r="784" spans="1:2" x14ac:dyDescent="0.2">
      <c r="A784" s="191" t="s">
        <v>1029</v>
      </c>
      <c r="B784" s="191" t="s">
        <v>2353</v>
      </c>
    </row>
    <row r="785" spans="1:2" x14ac:dyDescent="0.2">
      <c r="A785" s="191" t="s">
        <v>1030</v>
      </c>
      <c r="B785" s="191" t="s">
        <v>2508</v>
      </c>
    </row>
    <row r="786" spans="1:2" x14ac:dyDescent="0.2">
      <c r="A786" s="191" t="s">
        <v>1031</v>
      </c>
      <c r="B786" s="191" t="s">
        <v>2509</v>
      </c>
    </row>
    <row r="787" spans="1:2" x14ac:dyDescent="0.2">
      <c r="A787" s="191" t="s">
        <v>1032</v>
      </c>
      <c r="B787" s="191" t="s">
        <v>2510</v>
      </c>
    </row>
    <row r="788" spans="1:2" x14ac:dyDescent="0.2">
      <c r="A788" s="191" t="s">
        <v>1033</v>
      </c>
      <c r="B788" s="191" t="s">
        <v>2511</v>
      </c>
    </row>
    <row r="789" spans="1:2" x14ac:dyDescent="0.2">
      <c r="A789" s="191" t="s">
        <v>1034</v>
      </c>
      <c r="B789" s="191" t="s">
        <v>2512</v>
      </c>
    </row>
    <row r="790" spans="1:2" x14ac:dyDescent="0.2">
      <c r="A790" s="191" t="s">
        <v>1035</v>
      </c>
      <c r="B790" s="191" t="s">
        <v>2513</v>
      </c>
    </row>
    <row r="791" spans="1:2" x14ac:dyDescent="0.2">
      <c r="A791" s="191" t="s">
        <v>2514</v>
      </c>
      <c r="B791" s="191" t="s">
        <v>2515</v>
      </c>
    </row>
    <row r="792" spans="1:2" x14ac:dyDescent="0.2">
      <c r="A792" s="212" t="s">
        <v>2708</v>
      </c>
      <c r="B792" s="191" t="s">
        <v>2709</v>
      </c>
    </row>
    <row r="793" spans="1:2" x14ac:dyDescent="0.2">
      <c r="A793" s="191" t="s">
        <v>1036</v>
      </c>
      <c r="B793" s="191" t="s">
        <v>2223</v>
      </c>
    </row>
    <row r="794" spans="1:2" x14ac:dyDescent="0.2">
      <c r="A794" s="191" t="s">
        <v>1037</v>
      </c>
      <c r="B794" s="191" t="s">
        <v>2516</v>
      </c>
    </row>
    <row r="795" spans="1:2" x14ac:dyDescent="0.2">
      <c r="A795" s="191" t="s">
        <v>1038</v>
      </c>
      <c r="B795" s="191" t="s">
        <v>2517</v>
      </c>
    </row>
    <row r="796" spans="1:2" x14ac:dyDescent="0.2">
      <c r="A796" s="191" t="s">
        <v>1039</v>
      </c>
      <c r="B796" s="191" t="s">
        <v>2255</v>
      </c>
    </row>
    <row r="797" spans="1:2" x14ac:dyDescent="0.2">
      <c r="A797" s="191" t="s">
        <v>1040</v>
      </c>
      <c r="B797" s="191" t="s">
        <v>2518</v>
      </c>
    </row>
    <row r="798" spans="1:2" x14ac:dyDescent="0.2">
      <c r="A798" s="191" t="s">
        <v>1041</v>
      </c>
      <c r="B798" s="191" t="s">
        <v>2519</v>
      </c>
    </row>
    <row r="799" spans="1:2" x14ac:dyDescent="0.2">
      <c r="A799" s="191" t="s">
        <v>1042</v>
      </c>
      <c r="B799" s="191" t="s">
        <v>2520</v>
      </c>
    </row>
    <row r="800" spans="1:2" x14ac:dyDescent="0.2">
      <c r="A800" s="191" t="s">
        <v>1043</v>
      </c>
      <c r="B800" s="191" t="s">
        <v>2521</v>
      </c>
    </row>
    <row r="801" spans="1:2" x14ac:dyDescent="0.2">
      <c r="A801" s="191" t="s">
        <v>1044</v>
      </c>
      <c r="B801" s="191" t="s">
        <v>2522</v>
      </c>
    </row>
    <row r="802" spans="1:2" x14ac:dyDescent="0.2">
      <c r="A802" s="191" t="s">
        <v>1045</v>
      </c>
      <c r="B802" s="191" t="s">
        <v>2523</v>
      </c>
    </row>
    <row r="803" spans="1:2" x14ac:dyDescent="0.2">
      <c r="A803" s="191" t="s">
        <v>1046</v>
      </c>
      <c r="B803" s="191" t="s">
        <v>2524</v>
      </c>
    </row>
    <row r="804" spans="1:2" x14ac:dyDescent="0.2">
      <c r="A804" s="191" t="s">
        <v>1047</v>
      </c>
      <c r="B804" s="191" t="s">
        <v>2525</v>
      </c>
    </row>
    <row r="805" spans="1:2" x14ac:dyDescent="0.2">
      <c r="A805" s="191" t="s">
        <v>1048</v>
      </c>
      <c r="B805" s="191" t="s">
        <v>2526</v>
      </c>
    </row>
    <row r="806" spans="1:2" x14ac:dyDescent="0.2">
      <c r="A806" s="191" t="s">
        <v>1049</v>
      </c>
      <c r="B806" s="191" t="s">
        <v>2527</v>
      </c>
    </row>
    <row r="807" spans="1:2" x14ac:dyDescent="0.2">
      <c r="A807" s="191" t="s">
        <v>1050</v>
      </c>
      <c r="B807" s="191" t="s">
        <v>2528</v>
      </c>
    </row>
    <row r="808" spans="1:2" x14ac:dyDescent="0.2">
      <c r="A808" s="191" t="s">
        <v>1051</v>
      </c>
      <c r="B808" s="191" t="s">
        <v>2094</v>
      </c>
    </row>
    <row r="809" spans="1:2" x14ac:dyDescent="0.2">
      <c r="A809" s="191" t="s">
        <v>1052</v>
      </c>
      <c r="B809" s="191" t="s">
        <v>2529</v>
      </c>
    </row>
    <row r="810" spans="1:2" x14ac:dyDescent="0.2">
      <c r="A810" s="191" t="s">
        <v>1053</v>
      </c>
      <c r="B810" s="191" t="s">
        <v>2530</v>
      </c>
    </row>
    <row r="811" spans="1:2" x14ac:dyDescent="0.2">
      <c r="A811" s="191" t="s">
        <v>1054</v>
      </c>
      <c r="B811" s="191" t="s">
        <v>2531</v>
      </c>
    </row>
    <row r="812" spans="1:2" x14ac:dyDescent="0.2">
      <c r="A812" s="191" t="s">
        <v>1055</v>
      </c>
      <c r="B812" s="191" t="s">
        <v>2532</v>
      </c>
    </row>
    <row r="813" spans="1:2" x14ac:dyDescent="0.2">
      <c r="A813" s="191" t="s">
        <v>1056</v>
      </c>
      <c r="B813" s="191" t="s">
        <v>1841</v>
      </c>
    </row>
    <row r="814" spans="1:2" x14ac:dyDescent="0.2">
      <c r="A814" s="191" t="s">
        <v>1057</v>
      </c>
      <c r="B814" s="191" t="s">
        <v>2533</v>
      </c>
    </row>
    <row r="815" spans="1:2" x14ac:dyDescent="0.2">
      <c r="A815" s="191" t="s">
        <v>1058</v>
      </c>
      <c r="B815" s="191" t="s">
        <v>2534</v>
      </c>
    </row>
    <row r="816" spans="1:2" x14ac:dyDescent="0.2">
      <c r="A816" s="191" t="s">
        <v>1059</v>
      </c>
      <c r="B816" s="191" t="s">
        <v>2535</v>
      </c>
    </row>
    <row r="817" spans="1:2" x14ac:dyDescent="0.2">
      <c r="A817" s="191" t="s">
        <v>1060</v>
      </c>
      <c r="B817" s="191" t="s">
        <v>2536</v>
      </c>
    </row>
    <row r="818" spans="1:2" x14ac:dyDescent="0.2">
      <c r="A818" s="191" t="s">
        <v>1061</v>
      </c>
      <c r="B818" s="191" t="s">
        <v>2537</v>
      </c>
    </row>
    <row r="819" spans="1:2" x14ac:dyDescent="0.2">
      <c r="A819" s="191" t="s">
        <v>1062</v>
      </c>
      <c r="B819" s="191" t="s">
        <v>2538</v>
      </c>
    </row>
    <row r="820" spans="1:2" x14ac:dyDescent="0.2">
      <c r="A820" s="191" t="s">
        <v>1063</v>
      </c>
      <c r="B820" s="191" t="s">
        <v>2539</v>
      </c>
    </row>
    <row r="821" spans="1:2" x14ac:dyDescent="0.2">
      <c r="A821" s="191" t="s">
        <v>1064</v>
      </c>
      <c r="B821" s="191" t="s">
        <v>2540</v>
      </c>
    </row>
    <row r="822" spans="1:2" x14ac:dyDescent="0.2">
      <c r="A822" s="191" t="s">
        <v>1065</v>
      </c>
      <c r="B822" s="191" t="s">
        <v>2541</v>
      </c>
    </row>
    <row r="823" spans="1:2" x14ac:dyDescent="0.2">
      <c r="A823" s="191" t="s">
        <v>1066</v>
      </c>
      <c r="B823" s="191" t="s">
        <v>2542</v>
      </c>
    </row>
    <row r="824" spans="1:2" x14ac:dyDescent="0.2">
      <c r="A824" s="191" t="s">
        <v>1067</v>
      </c>
      <c r="B824" s="191" t="s">
        <v>2543</v>
      </c>
    </row>
    <row r="825" spans="1:2" x14ac:dyDescent="0.2">
      <c r="A825" s="191" t="s">
        <v>1068</v>
      </c>
      <c r="B825" s="191" t="s">
        <v>2544</v>
      </c>
    </row>
    <row r="826" spans="1:2" x14ac:dyDescent="0.2">
      <c r="A826" s="191" t="s">
        <v>1069</v>
      </c>
      <c r="B826" s="191" t="s">
        <v>2471</v>
      </c>
    </row>
    <row r="827" spans="1:2" x14ac:dyDescent="0.2">
      <c r="A827" s="191" t="s">
        <v>1070</v>
      </c>
      <c r="B827" s="191" t="s">
        <v>2545</v>
      </c>
    </row>
    <row r="828" spans="1:2" x14ac:dyDescent="0.2">
      <c r="A828" s="191" t="s">
        <v>1071</v>
      </c>
      <c r="B828" s="191" t="s">
        <v>2546</v>
      </c>
    </row>
    <row r="829" spans="1:2" x14ac:dyDescent="0.2">
      <c r="A829" s="191" t="s">
        <v>1072</v>
      </c>
      <c r="B829" s="191" t="s">
        <v>2547</v>
      </c>
    </row>
    <row r="830" spans="1:2" x14ac:dyDescent="0.2">
      <c r="A830" s="191" t="s">
        <v>1073</v>
      </c>
      <c r="B830" s="191" t="s">
        <v>2548</v>
      </c>
    </row>
    <row r="831" spans="1:2" x14ac:dyDescent="0.2">
      <c r="A831" s="191" t="s">
        <v>1074</v>
      </c>
      <c r="B831" s="191" t="s">
        <v>2549</v>
      </c>
    </row>
    <row r="832" spans="1:2" x14ac:dyDescent="0.2">
      <c r="A832" s="191" t="s">
        <v>1075</v>
      </c>
      <c r="B832" s="191" t="s">
        <v>2550</v>
      </c>
    </row>
    <row r="833" spans="1:2" x14ac:dyDescent="0.2">
      <c r="A833" s="191" t="s">
        <v>1076</v>
      </c>
      <c r="B833" s="191" t="s">
        <v>2551</v>
      </c>
    </row>
    <row r="834" spans="1:2" x14ac:dyDescent="0.2">
      <c r="A834" s="191" t="s">
        <v>1077</v>
      </c>
      <c r="B834" s="191" t="s">
        <v>2552</v>
      </c>
    </row>
    <row r="835" spans="1:2" x14ac:dyDescent="0.2">
      <c r="A835" s="191" t="s">
        <v>1078</v>
      </c>
      <c r="B835" s="191" t="s">
        <v>2553</v>
      </c>
    </row>
    <row r="836" spans="1:2" x14ac:dyDescent="0.2">
      <c r="A836" s="191" t="s">
        <v>1079</v>
      </c>
      <c r="B836" s="191" t="s">
        <v>2554</v>
      </c>
    </row>
    <row r="837" spans="1:2" x14ac:dyDescent="0.2">
      <c r="A837" s="191" t="s">
        <v>1080</v>
      </c>
      <c r="B837" s="191" t="s">
        <v>2555</v>
      </c>
    </row>
    <row r="838" spans="1:2" x14ac:dyDescent="0.2">
      <c r="A838" s="191" t="s">
        <v>1081</v>
      </c>
      <c r="B838" s="191" t="s">
        <v>2484</v>
      </c>
    </row>
    <row r="839" spans="1:2" x14ac:dyDescent="0.2">
      <c r="A839" s="191" t="s">
        <v>1082</v>
      </c>
      <c r="B839" s="191" t="s">
        <v>2556</v>
      </c>
    </row>
    <row r="840" spans="1:2" x14ac:dyDescent="0.2">
      <c r="A840" s="191" t="s">
        <v>1083</v>
      </c>
      <c r="B840" s="191" t="s">
        <v>2557</v>
      </c>
    </row>
    <row r="841" spans="1:2" x14ac:dyDescent="0.2">
      <c r="A841" s="191" t="s">
        <v>1084</v>
      </c>
      <c r="B841" s="191" t="s">
        <v>2558</v>
      </c>
    </row>
    <row r="842" spans="1:2" x14ac:dyDescent="0.2">
      <c r="A842" s="191" t="s">
        <v>1085</v>
      </c>
      <c r="B842" s="191" t="s">
        <v>2009</v>
      </c>
    </row>
    <row r="843" spans="1:2" x14ac:dyDescent="0.2">
      <c r="A843" s="191" t="s">
        <v>1086</v>
      </c>
      <c r="B843" s="191" t="s">
        <v>2559</v>
      </c>
    </row>
    <row r="844" spans="1:2" x14ac:dyDescent="0.2">
      <c r="A844" s="191" t="s">
        <v>1087</v>
      </c>
      <c r="B844" s="191" t="s">
        <v>2560</v>
      </c>
    </row>
    <row r="845" spans="1:2" x14ac:dyDescent="0.2">
      <c r="A845" s="191" t="s">
        <v>1088</v>
      </c>
      <c r="B845" s="191" t="s">
        <v>2561</v>
      </c>
    </row>
    <row r="846" spans="1:2" x14ac:dyDescent="0.2">
      <c r="A846" s="191" t="s">
        <v>1089</v>
      </c>
      <c r="B846" s="191" t="s">
        <v>2506</v>
      </c>
    </row>
    <row r="847" spans="1:2" x14ac:dyDescent="0.2">
      <c r="A847" s="191" t="s">
        <v>1090</v>
      </c>
      <c r="B847" s="191" t="s">
        <v>2562</v>
      </c>
    </row>
    <row r="848" spans="1:2" x14ac:dyDescent="0.2">
      <c r="A848" s="191" t="s">
        <v>1091</v>
      </c>
      <c r="B848" s="191" t="s">
        <v>2563</v>
      </c>
    </row>
    <row r="849" spans="1:2" x14ac:dyDescent="0.2">
      <c r="A849" s="191" t="s">
        <v>1092</v>
      </c>
      <c r="B849" s="191" t="s">
        <v>2564</v>
      </c>
    </row>
    <row r="850" spans="1:2" x14ac:dyDescent="0.2">
      <c r="A850" s="191" t="s">
        <v>1093</v>
      </c>
      <c r="B850" s="191" t="s">
        <v>2565</v>
      </c>
    </row>
    <row r="851" spans="1:2" x14ac:dyDescent="0.2">
      <c r="A851" s="191" t="s">
        <v>1094</v>
      </c>
      <c r="B851" s="191" t="s">
        <v>2510</v>
      </c>
    </row>
    <row r="852" spans="1:2" x14ac:dyDescent="0.2">
      <c r="A852" s="191" t="s">
        <v>1095</v>
      </c>
      <c r="B852" s="191" t="s">
        <v>2566</v>
      </c>
    </row>
    <row r="853" spans="1:2" x14ac:dyDescent="0.2">
      <c r="A853" s="191" t="s">
        <v>1096</v>
      </c>
      <c r="B853" s="191" t="s">
        <v>2567</v>
      </c>
    </row>
    <row r="854" spans="1:2" x14ac:dyDescent="0.2">
      <c r="A854" s="191" t="s">
        <v>1097</v>
      </c>
      <c r="B854" s="191" t="s">
        <v>2568</v>
      </c>
    </row>
    <row r="855" spans="1:2" x14ac:dyDescent="0.2">
      <c r="A855" s="191" t="s">
        <v>1745</v>
      </c>
      <c r="B855" s="191" t="s">
        <v>2569</v>
      </c>
    </row>
    <row r="856" spans="1:2" x14ac:dyDescent="0.2">
      <c r="A856" s="191" t="s">
        <v>1746</v>
      </c>
      <c r="B856" s="191" t="s">
        <v>2570</v>
      </c>
    </row>
    <row r="857" spans="1:2" x14ac:dyDescent="0.2">
      <c r="A857" s="191" t="s">
        <v>1747</v>
      </c>
      <c r="B857" s="191" t="s">
        <v>2571</v>
      </c>
    </row>
    <row r="858" spans="1:2" x14ac:dyDescent="0.2">
      <c r="A858" s="191" t="s">
        <v>1748</v>
      </c>
      <c r="B858" s="191" t="s">
        <v>2572</v>
      </c>
    </row>
    <row r="859" spans="1:2" x14ac:dyDescent="0.2">
      <c r="A859" s="191" t="s">
        <v>1749</v>
      </c>
      <c r="B859" s="191" t="s">
        <v>2102</v>
      </c>
    </row>
    <row r="860" spans="1:2" x14ac:dyDescent="0.2">
      <c r="A860" s="191" t="s">
        <v>1750</v>
      </c>
      <c r="B860" s="191" t="s">
        <v>2573</v>
      </c>
    </row>
    <row r="861" spans="1:2" x14ac:dyDescent="0.2">
      <c r="A861" s="191" t="s">
        <v>1751</v>
      </c>
      <c r="B861" s="191" t="s">
        <v>2574</v>
      </c>
    </row>
    <row r="862" spans="1:2" x14ac:dyDescent="0.2">
      <c r="A862" s="191" t="s">
        <v>1752</v>
      </c>
      <c r="B862" s="191" t="s">
        <v>2575</v>
      </c>
    </row>
    <row r="863" spans="1:2" x14ac:dyDescent="0.2">
      <c r="A863" s="191" t="s">
        <v>1753</v>
      </c>
      <c r="B863" s="191" t="s">
        <v>2576</v>
      </c>
    </row>
    <row r="864" spans="1:2" x14ac:dyDescent="0.2">
      <c r="A864" s="191" t="s">
        <v>1754</v>
      </c>
      <c r="B864" s="191" t="s">
        <v>2577</v>
      </c>
    </row>
    <row r="865" spans="1:2" x14ac:dyDescent="0.2">
      <c r="A865" s="191" t="s">
        <v>1755</v>
      </c>
      <c r="B865" s="191" t="s">
        <v>2578</v>
      </c>
    </row>
    <row r="866" spans="1:2" x14ac:dyDescent="0.2">
      <c r="A866" s="191" t="s">
        <v>2579</v>
      </c>
      <c r="B866" s="191" t="s">
        <v>2580</v>
      </c>
    </row>
    <row r="867" spans="1:2" x14ac:dyDescent="0.2">
      <c r="A867" s="191" t="s">
        <v>1098</v>
      </c>
      <c r="B867" s="191" t="s">
        <v>2581</v>
      </c>
    </row>
    <row r="868" spans="1:2" x14ac:dyDescent="0.2">
      <c r="A868" s="191" t="s">
        <v>1099</v>
      </c>
      <c r="B868" s="191" t="s">
        <v>2582</v>
      </c>
    </row>
    <row r="869" spans="1:2" x14ac:dyDescent="0.2">
      <c r="A869" s="191" t="s">
        <v>1100</v>
      </c>
      <c r="B869" s="191" t="s">
        <v>2583</v>
      </c>
    </row>
    <row r="870" spans="1:2" x14ac:dyDescent="0.2">
      <c r="A870" s="191" t="s">
        <v>1756</v>
      </c>
      <c r="B870" s="191" t="s">
        <v>2584</v>
      </c>
    </row>
    <row r="871" spans="1:2" x14ac:dyDescent="0.2">
      <c r="A871" s="191" t="s">
        <v>2585</v>
      </c>
      <c r="B871" s="191" t="s">
        <v>2586</v>
      </c>
    </row>
    <row r="872" spans="1:2" x14ac:dyDescent="0.2">
      <c r="A872" s="191" t="s">
        <v>1101</v>
      </c>
      <c r="B872" s="191" t="s">
        <v>2587</v>
      </c>
    </row>
    <row r="873" spans="1:2" x14ac:dyDescent="0.2">
      <c r="A873" s="191" t="s">
        <v>1102</v>
      </c>
      <c r="B873" s="191" t="s">
        <v>2588</v>
      </c>
    </row>
    <row r="874" spans="1:2" x14ac:dyDescent="0.2">
      <c r="A874" s="191" t="s">
        <v>1103</v>
      </c>
      <c r="B874" s="191" t="s">
        <v>2589</v>
      </c>
    </row>
    <row r="875" spans="1:2" x14ac:dyDescent="0.2">
      <c r="A875" s="191" t="s">
        <v>1104</v>
      </c>
      <c r="B875" s="191" t="s">
        <v>2590</v>
      </c>
    </row>
    <row r="876" spans="1:2" x14ac:dyDescent="0.2">
      <c r="A876" s="191" t="s">
        <v>1757</v>
      </c>
      <c r="B876" s="191" t="s">
        <v>2591</v>
      </c>
    </row>
    <row r="877" spans="1:2" x14ac:dyDescent="0.2">
      <c r="A877" s="191" t="s">
        <v>2592</v>
      </c>
      <c r="B877" s="191" t="s">
        <v>2593</v>
      </c>
    </row>
    <row r="878" spans="1:2" x14ac:dyDescent="0.2">
      <c r="A878" s="191" t="s">
        <v>1105</v>
      </c>
      <c r="B878" s="191" t="s">
        <v>2594</v>
      </c>
    </row>
    <row r="879" spans="1:2" x14ac:dyDescent="0.2">
      <c r="A879" s="191" t="s">
        <v>1106</v>
      </c>
      <c r="B879" s="191" t="s">
        <v>2595</v>
      </c>
    </row>
    <row r="880" spans="1:2" x14ac:dyDescent="0.2">
      <c r="A880" s="191" t="s">
        <v>1107</v>
      </c>
      <c r="B880" s="191" t="s">
        <v>2596</v>
      </c>
    </row>
    <row r="881" spans="1:2" x14ac:dyDescent="0.2">
      <c r="A881" s="191" t="s">
        <v>1108</v>
      </c>
      <c r="B881" s="191" t="s">
        <v>2597</v>
      </c>
    </row>
    <row r="882" spans="1:2" x14ac:dyDescent="0.2">
      <c r="A882" s="191" t="s">
        <v>1758</v>
      </c>
      <c r="B882" s="191" t="s">
        <v>2598</v>
      </c>
    </row>
    <row r="883" spans="1:2" x14ac:dyDescent="0.2">
      <c r="A883" s="191" t="s">
        <v>2599</v>
      </c>
      <c r="B883" s="191" t="s">
        <v>2600</v>
      </c>
    </row>
    <row r="884" spans="1:2" x14ac:dyDescent="0.2">
      <c r="A884" s="191" t="s">
        <v>1109</v>
      </c>
      <c r="B884" s="191" t="s">
        <v>2601</v>
      </c>
    </row>
    <row r="885" spans="1:2" x14ac:dyDescent="0.2">
      <c r="A885" s="191" t="s">
        <v>1110</v>
      </c>
      <c r="B885" s="191" t="s">
        <v>2602</v>
      </c>
    </row>
    <row r="886" spans="1:2" x14ac:dyDescent="0.2">
      <c r="A886" s="191" t="s">
        <v>1759</v>
      </c>
      <c r="B886" s="191" t="s">
        <v>2603</v>
      </c>
    </row>
    <row r="887" spans="1:2" x14ac:dyDescent="0.2">
      <c r="A887" s="191" t="s">
        <v>1111</v>
      </c>
      <c r="B887" s="191" t="s">
        <v>2583</v>
      </c>
    </row>
    <row r="888" spans="1:2" x14ac:dyDescent="0.2">
      <c r="A888" s="191" t="s">
        <v>1760</v>
      </c>
      <c r="B888" s="191" t="s">
        <v>2604</v>
      </c>
    </row>
    <row r="889" spans="1:2" x14ac:dyDescent="0.2">
      <c r="A889" s="191" t="s">
        <v>2605</v>
      </c>
      <c r="B889" s="191" t="s">
        <v>2606</v>
      </c>
    </row>
    <row r="890" spans="1:2" x14ac:dyDescent="0.2">
      <c r="A890" s="191" t="s">
        <v>1112</v>
      </c>
      <c r="B890" s="191" t="s">
        <v>2607</v>
      </c>
    </row>
    <row r="891" spans="1:2" x14ac:dyDescent="0.2">
      <c r="A891" s="191" t="s">
        <v>1761</v>
      </c>
      <c r="B891" s="191" t="s">
        <v>2608</v>
      </c>
    </row>
    <row r="892" spans="1:2" x14ac:dyDescent="0.2">
      <c r="A892" s="191" t="s">
        <v>1113</v>
      </c>
      <c r="B892" s="191" t="s">
        <v>2583</v>
      </c>
    </row>
    <row r="893" spans="1:2" x14ac:dyDescent="0.2">
      <c r="A893" s="191" t="s">
        <v>1762</v>
      </c>
      <c r="B893" s="191" t="s">
        <v>2609</v>
      </c>
    </row>
    <row r="894" spans="1:2" x14ac:dyDescent="0.2">
      <c r="A894" s="191" t="s">
        <v>2610</v>
      </c>
      <c r="B894" s="191" t="s">
        <v>2611</v>
      </c>
    </row>
    <row r="895" spans="1:2" x14ac:dyDescent="0.2">
      <c r="A895" s="191" t="s">
        <v>1114</v>
      </c>
      <c r="B895" s="191" t="s">
        <v>2612</v>
      </c>
    </row>
    <row r="896" spans="1:2" x14ac:dyDescent="0.2">
      <c r="A896" s="191" t="s">
        <v>1115</v>
      </c>
      <c r="B896" s="191" t="s">
        <v>2613</v>
      </c>
    </row>
    <row r="897" spans="1:2" x14ac:dyDescent="0.2">
      <c r="A897" s="191" t="s">
        <v>2614</v>
      </c>
      <c r="B897" s="191" t="s">
        <v>2615</v>
      </c>
    </row>
    <row r="898" spans="1:2" x14ac:dyDescent="0.2">
      <c r="A898" s="191" t="s">
        <v>1116</v>
      </c>
      <c r="B898" s="191" t="s">
        <v>2583</v>
      </c>
    </row>
    <row r="899" spans="1:2" x14ac:dyDescent="0.2">
      <c r="A899" s="191" t="s">
        <v>1763</v>
      </c>
      <c r="B899" s="191" t="s">
        <v>2616</v>
      </c>
    </row>
    <row r="900" spans="1:2" x14ac:dyDescent="0.2">
      <c r="A900" s="191" t="s">
        <v>2617</v>
      </c>
      <c r="B900" s="191" t="s">
        <v>2618</v>
      </c>
    </row>
    <row r="901" spans="1:2" x14ac:dyDescent="0.2">
      <c r="A901" s="191" t="s">
        <v>1117</v>
      </c>
      <c r="B901" s="191" t="s">
        <v>2619</v>
      </c>
    </row>
    <row r="902" spans="1:2" x14ac:dyDescent="0.2">
      <c r="A902" s="191" t="s">
        <v>1118</v>
      </c>
      <c r="B902" s="191" t="s">
        <v>2620</v>
      </c>
    </row>
    <row r="903" spans="1:2" x14ac:dyDescent="0.2">
      <c r="A903" s="191" t="s">
        <v>1764</v>
      </c>
      <c r="B903" s="191" t="s">
        <v>2621</v>
      </c>
    </row>
    <row r="904" spans="1:2" x14ac:dyDescent="0.2">
      <c r="A904" s="191" t="s">
        <v>2622</v>
      </c>
      <c r="B904" s="191" t="s">
        <v>2623</v>
      </c>
    </row>
    <row r="905" spans="1:2" x14ac:dyDescent="0.2">
      <c r="A905" s="191" t="s">
        <v>1119</v>
      </c>
      <c r="B905" s="191" t="s">
        <v>2624</v>
      </c>
    </row>
    <row r="906" spans="1:2" x14ac:dyDescent="0.2">
      <c r="A906" s="191" t="s">
        <v>1120</v>
      </c>
      <c r="B906" s="191" t="s">
        <v>2625</v>
      </c>
    </row>
    <row r="907" spans="1:2" x14ac:dyDescent="0.2">
      <c r="A907" s="191" t="s">
        <v>2626</v>
      </c>
      <c r="B907" s="191" t="s">
        <v>2627</v>
      </c>
    </row>
    <row r="908" spans="1:2" x14ac:dyDescent="0.2">
      <c r="A908" s="191" t="s">
        <v>1121</v>
      </c>
      <c r="B908" s="191" t="s">
        <v>2628</v>
      </c>
    </row>
    <row r="909" spans="1:2" x14ac:dyDescent="0.2">
      <c r="A909" s="191" t="s">
        <v>1122</v>
      </c>
      <c r="B909" s="191" t="s">
        <v>2629</v>
      </c>
    </row>
    <row r="910" spans="1:2" x14ac:dyDescent="0.2">
      <c r="A910" s="191" t="s">
        <v>2630</v>
      </c>
      <c r="B910" s="191" t="s">
        <v>2631</v>
      </c>
    </row>
    <row r="911" spans="1:2" x14ac:dyDescent="0.2">
      <c r="A911" s="191" t="s">
        <v>1123</v>
      </c>
      <c r="B911" s="191" t="s">
        <v>2632</v>
      </c>
    </row>
    <row r="912" spans="1:2" x14ac:dyDescent="0.2">
      <c r="A912" s="191" t="s">
        <v>1124</v>
      </c>
      <c r="B912" s="191" t="s">
        <v>2633</v>
      </c>
    </row>
    <row r="913" spans="1:2" x14ac:dyDescent="0.2">
      <c r="A913" s="191" t="s">
        <v>2634</v>
      </c>
      <c r="B913" s="191" t="s">
        <v>2635</v>
      </c>
    </row>
    <row r="914" spans="1:2" x14ac:dyDescent="0.2">
      <c r="A914" s="191" t="s">
        <v>1125</v>
      </c>
      <c r="B914" s="191" t="s">
        <v>2636</v>
      </c>
    </row>
    <row r="915" spans="1:2" x14ac:dyDescent="0.2">
      <c r="A915" s="191" t="s">
        <v>1126</v>
      </c>
      <c r="B915" s="191" t="s">
        <v>2637</v>
      </c>
    </row>
    <row r="916" spans="1:2" x14ac:dyDescent="0.2">
      <c r="A916" s="191" t="s">
        <v>1127</v>
      </c>
      <c r="B916" s="191" t="s">
        <v>2638</v>
      </c>
    </row>
    <row r="917" spans="1:2" x14ac:dyDescent="0.2">
      <c r="A917" s="191" t="s">
        <v>1128</v>
      </c>
      <c r="B917" s="191" t="s">
        <v>2639</v>
      </c>
    </row>
    <row r="918" spans="1:2" x14ac:dyDescent="0.2">
      <c r="A918" s="191" t="s">
        <v>1129</v>
      </c>
      <c r="B918" s="191" t="s">
        <v>2640</v>
      </c>
    </row>
    <row r="919" spans="1:2" x14ac:dyDescent="0.2">
      <c r="A919" s="191" t="s">
        <v>1130</v>
      </c>
      <c r="B919" s="191" t="s">
        <v>2641</v>
      </c>
    </row>
    <row r="920" spans="1:2" x14ac:dyDescent="0.2">
      <c r="A920" s="191" t="s">
        <v>1131</v>
      </c>
      <c r="B920" s="191" t="s">
        <v>2642</v>
      </c>
    </row>
    <row r="921" spans="1:2" x14ac:dyDescent="0.2">
      <c r="A921" s="191" t="s">
        <v>1132</v>
      </c>
      <c r="B921" s="191" t="s">
        <v>2643</v>
      </c>
    </row>
    <row r="922" spans="1:2" x14ac:dyDescent="0.2">
      <c r="A922" s="191" t="s">
        <v>1133</v>
      </c>
      <c r="B922" s="191" t="s">
        <v>2644</v>
      </c>
    </row>
    <row r="923" spans="1:2" x14ac:dyDescent="0.2">
      <c r="A923" s="191" t="s">
        <v>1134</v>
      </c>
      <c r="B923" s="191" t="s">
        <v>2645</v>
      </c>
    </row>
    <row r="924" spans="1:2" x14ac:dyDescent="0.2">
      <c r="A924" s="191" t="s">
        <v>1135</v>
      </c>
      <c r="B924" s="191" t="s">
        <v>2646</v>
      </c>
    </row>
    <row r="925" spans="1:2" x14ac:dyDescent="0.2">
      <c r="A925" s="191" t="s">
        <v>1136</v>
      </c>
      <c r="B925" s="191" t="s">
        <v>2647</v>
      </c>
    </row>
    <row r="926" spans="1:2" x14ac:dyDescent="0.2">
      <c r="A926" s="191" t="s">
        <v>1137</v>
      </c>
      <c r="B926" s="191" t="s">
        <v>2648</v>
      </c>
    </row>
    <row r="927" spans="1:2" x14ac:dyDescent="0.2">
      <c r="A927" s="191" t="s">
        <v>1138</v>
      </c>
      <c r="B927" s="191" t="s">
        <v>2649</v>
      </c>
    </row>
    <row r="928" spans="1:2" x14ac:dyDescent="0.2">
      <c r="A928" s="191" t="s">
        <v>1139</v>
      </c>
      <c r="B928" s="191" t="s">
        <v>2650</v>
      </c>
    </row>
    <row r="929" spans="1:2" x14ac:dyDescent="0.2">
      <c r="A929" s="191" t="s">
        <v>1140</v>
      </c>
      <c r="B929" s="191" t="s">
        <v>2651</v>
      </c>
    </row>
    <row r="930" spans="1:2" x14ac:dyDescent="0.2">
      <c r="A930" s="191" t="s">
        <v>1141</v>
      </c>
      <c r="B930" s="191" t="s">
        <v>2652</v>
      </c>
    </row>
    <row r="931" spans="1:2" x14ac:dyDescent="0.2">
      <c r="A931" s="191" t="s">
        <v>1142</v>
      </c>
      <c r="B931" s="191" t="s">
        <v>2653</v>
      </c>
    </row>
    <row r="932" spans="1:2" x14ac:dyDescent="0.2">
      <c r="A932" s="191" t="s">
        <v>1143</v>
      </c>
      <c r="B932" s="191" t="s">
        <v>2654</v>
      </c>
    </row>
    <row r="933" spans="1:2" x14ac:dyDescent="0.2">
      <c r="A933" s="191" t="s">
        <v>1144</v>
      </c>
      <c r="B933" s="191" t="s">
        <v>2655</v>
      </c>
    </row>
    <row r="934" spans="1:2" x14ac:dyDescent="0.2">
      <c r="A934" s="191" t="s">
        <v>1145</v>
      </c>
      <c r="B934" s="191" t="s">
        <v>2656</v>
      </c>
    </row>
    <row r="935" spans="1:2" x14ac:dyDescent="0.2">
      <c r="A935" s="191" t="s">
        <v>1146</v>
      </c>
      <c r="B935" s="191" t="s">
        <v>2657</v>
      </c>
    </row>
    <row r="936" spans="1:2" x14ac:dyDescent="0.2">
      <c r="A936" s="191" t="s">
        <v>1147</v>
      </c>
      <c r="B936" s="191" t="s">
        <v>2658</v>
      </c>
    </row>
    <row r="937" spans="1:2" x14ac:dyDescent="0.2">
      <c r="A937" s="191" t="s">
        <v>1148</v>
      </c>
      <c r="B937" s="191" t="s">
        <v>2659</v>
      </c>
    </row>
    <row r="938" spans="1:2" x14ac:dyDescent="0.2">
      <c r="A938" s="191" t="s">
        <v>1149</v>
      </c>
      <c r="B938" s="191" t="s">
        <v>2660</v>
      </c>
    </row>
    <row r="939" spans="1:2" x14ac:dyDescent="0.2">
      <c r="A939" s="191" t="s">
        <v>1150</v>
      </c>
      <c r="B939" s="191" t="s">
        <v>2661</v>
      </c>
    </row>
    <row r="940" spans="1:2" x14ac:dyDescent="0.2">
      <c r="A940" s="191" t="s">
        <v>1151</v>
      </c>
      <c r="B940" s="191" t="s">
        <v>2662</v>
      </c>
    </row>
    <row r="941" spans="1:2" x14ac:dyDescent="0.2">
      <c r="A941" s="191" t="s">
        <v>1152</v>
      </c>
      <c r="B941" s="191" t="s">
        <v>2663</v>
      </c>
    </row>
    <row r="942" spans="1:2" x14ac:dyDescent="0.2">
      <c r="A942" s="191" t="s">
        <v>1153</v>
      </c>
      <c r="B942" s="191" t="s">
        <v>2664</v>
      </c>
    </row>
    <row r="943" spans="1:2" x14ac:dyDescent="0.2">
      <c r="A943" s="191" t="s">
        <v>1154</v>
      </c>
      <c r="B943" s="191" t="s">
        <v>2665</v>
      </c>
    </row>
    <row r="944" spans="1:2" x14ac:dyDescent="0.2">
      <c r="A944" s="191" t="s">
        <v>1155</v>
      </c>
      <c r="B944" s="191" t="s">
        <v>2666</v>
      </c>
    </row>
    <row r="945" spans="1:2" x14ac:dyDescent="0.2">
      <c r="A945" s="191" t="s">
        <v>1156</v>
      </c>
      <c r="B945" s="191" t="s">
        <v>2667</v>
      </c>
    </row>
    <row r="946" spans="1:2" x14ac:dyDescent="0.2">
      <c r="A946" s="191" t="s">
        <v>1157</v>
      </c>
      <c r="B946" s="191" t="s">
        <v>2668</v>
      </c>
    </row>
    <row r="947" spans="1:2" ht="15" x14ac:dyDescent="0.25">
      <c r="A947" s="190" t="s">
        <v>1158</v>
      </c>
      <c r="B947" s="190" t="s">
        <v>2669</v>
      </c>
    </row>
    <row r="948" spans="1:2" ht="15" x14ac:dyDescent="0.25">
      <c r="A948" s="190" t="s">
        <v>1159</v>
      </c>
      <c r="B948" s="190" t="s">
        <v>2670</v>
      </c>
    </row>
    <row r="949" spans="1:2" ht="15" x14ac:dyDescent="0.25">
      <c r="A949" s="190" t="s">
        <v>1160</v>
      </c>
      <c r="B949" s="190" t="s">
        <v>2671</v>
      </c>
    </row>
    <row r="950" spans="1:2" ht="15" x14ac:dyDescent="0.25">
      <c r="A950" s="190" t="s">
        <v>1161</v>
      </c>
      <c r="B950" s="190" t="s">
        <v>2672</v>
      </c>
    </row>
    <row r="951" spans="1:2" ht="15" x14ac:dyDescent="0.25">
      <c r="A951" s="190" t="s">
        <v>1162</v>
      </c>
      <c r="B951" s="190" t="s">
        <v>2673</v>
      </c>
    </row>
    <row r="952" spans="1:2" ht="15" x14ac:dyDescent="0.25">
      <c r="A952" s="190" t="s">
        <v>1163</v>
      </c>
      <c r="B952" s="190" t="s">
        <v>2674</v>
      </c>
    </row>
    <row r="953" spans="1:2" ht="15" x14ac:dyDescent="0.25">
      <c r="A953" s="190" t="s">
        <v>1164</v>
      </c>
      <c r="B953" s="190" t="s">
        <v>2675</v>
      </c>
    </row>
    <row r="954" spans="1:2" ht="15" x14ac:dyDescent="0.25">
      <c r="A954" s="190" t="s">
        <v>1165</v>
      </c>
      <c r="B954" s="190" t="s">
        <v>2676</v>
      </c>
    </row>
    <row r="955" spans="1:2" ht="15" x14ac:dyDescent="0.25">
      <c r="A955" s="190" t="s">
        <v>1166</v>
      </c>
      <c r="B955" s="190" t="s">
        <v>2677</v>
      </c>
    </row>
    <row r="956" spans="1:2" ht="15" x14ac:dyDescent="0.25">
      <c r="A956" s="190" t="s">
        <v>1167</v>
      </c>
      <c r="B956" s="190" t="s">
        <v>2678</v>
      </c>
    </row>
    <row r="957" spans="1:2" ht="15" x14ac:dyDescent="0.25">
      <c r="A957" s="190" t="s">
        <v>1168</v>
      </c>
      <c r="B957" s="190" t="s">
        <v>2679</v>
      </c>
    </row>
    <row r="958" spans="1:2" ht="15" x14ac:dyDescent="0.25">
      <c r="A958" s="190" t="s">
        <v>1169</v>
      </c>
      <c r="B958" s="190" t="s">
        <v>2680</v>
      </c>
    </row>
    <row r="959" spans="1:2" ht="15" x14ac:dyDescent="0.25">
      <c r="A959" s="190" t="s">
        <v>1170</v>
      </c>
      <c r="B959" s="190" t="s">
        <v>2681</v>
      </c>
    </row>
    <row r="960" spans="1:2" ht="15" x14ac:dyDescent="0.25">
      <c r="A960" s="190" t="s">
        <v>1171</v>
      </c>
      <c r="B960" s="190" t="s">
        <v>2682</v>
      </c>
    </row>
    <row r="961" spans="1:2" ht="15" x14ac:dyDescent="0.25">
      <c r="A961" s="190" t="s">
        <v>1172</v>
      </c>
      <c r="B961" s="190" t="s">
        <v>2683</v>
      </c>
    </row>
    <row r="962" spans="1:2" ht="15" x14ac:dyDescent="0.25">
      <c r="A962" s="190" t="s">
        <v>1173</v>
      </c>
      <c r="B962" s="190" t="s">
        <v>2656</v>
      </c>
    </row>
    <row r="963" spans="1:2" ht="15" x14ac:dyDescent="0.25">
      <c r="A963" s="190" t="s">
        <v>1174</v>
      </c>
      <c r="B963" s="190" t="s">
        <v>2684</v>
      </c>
    </row>
    <row r="964" spans="1:2" ht="15" x14ac:dyDescent="0.25">
      <c r="A964" s="190" t="s">
        <v>1175</v>
      </c>
      <c r="B964" s="190" t="s">
        <v>2685</v>
      </c>
    </row>
    <row r="965" spans="1:2" ht="15" x14ac:dyDescent="0.25">
      <c r="A965" s="190" t="s">
        <v>1176</v>
      </c>
      <c r="B965" s="190" t="s">
        <v>2686</v>
      </c>
    </row>
    <row r="966" spans="1:2" ht="15" x14ac:dyDescent="0.25">
      <c r="A966" s="190" t="s">
        <v>1177</v>
      </c>
      <c r="B966" s="190" t="s">
        <v>2687</v>
      </c>
    </row>
    <row r="967" spans="1:2" ht="15" x14ac:dyDescent="0.25">
      <c r="A967" s="190" t="s">
        <v>1178</v>
      </c>
      <c r="B967" s="190" t="s">
        <v>2688</v>
      </c>
    </row>
    <row r="968" spans="1:2" ht="15" x14ac:dyDescent="0.25">
      <c r="A968" s="190" t="s">
        <v>1179</v>
      </c>
      <c r="B968" s="190" t="s">
        <v>2686</v>
      </c>
    </row>
    <row r="969" spans="1:2" ht="15" x14ac:dyDescent="0.25">
      <c r="A969" s="190" t="s">
        <v>1180</v>
      </c>
      <c r="B969" s="190" t="s">
        <v>2689</v>
      </c>
    </row>
    <row r="970" spans="1:2" ht="15" x14ac:dyDescent="0.25">
      <c r="A970" s="190" t="s">
        <v>1181</v>
      </c>
      <c r="B970" s="190" t="s">
        <v>2690</v>
      </c>
    </row>
    <row r="971" spans="1:2" ht="15" x14ac:dyDescent="0.25">
      <c r="A971" s="190" t="s">
        <v>1182</v>
      </c>
      <c r="B971" s="190" t="s">
        <v>2691</v>
      </c>
    </row>
    <row r="972" spans="1:2" ht="15" x14ac:dyDescent="0.25">
      <c r="A972" s="190" t="s">
        <v>1183</v>
      </c>
      <c r="B972" s="190" t="s">
        <v>2692</v>
      </c>
    </row>
    <row r="973" spans="1:2" ht="15" x14ac:dyDescent="0.25">
      <c r="A973" s="190" t="s">
        <v>1184</v>
      </c>
      <c r="B973" s="190" t="s">
        <v>2693</v>
      </c>
    </row>
    <row r="974" spans="1:2" ht="15" x14ac:dyDescent="0.25">
      <c r="A974" s="190" t="s">
        <v>1185</v>
      </c>
      <c r="B974" s="190" t="s">
        <v>2694</v>
      </c>
    </row>
    <row r="975" spans="1:2" ht="15" x14ac:dyDescent="0.25">
      <c r="A975" s="190" t="s">
        <v>1186</v>
      </c>
      <c r="B975" s="190" t="s">
        <v>2695</v>
      </c>
    </row>
    <row r="976" spans="1:2" ht="15" x14ac:dyDescent="0.25">
      <c r="A976" s="190" t="s">
        <v>1187</v>
      </c>
      <c r="B976" s="190" t="s">
        <v>2696</v>
      </c>
    </row>
    <row r="977" spans="1:2" ht="15" x14ac:dyDescent="0.25">
      <c r="A977" s="190" t="s">
        <v>1188</v>
      </c>
      <c r="B977" s="190" t="s">
        <v>2697</v>
      </c>
    </row>
    <row r="978" spans="1:2" ht="15" x14ac:dyDescent="0.25">
      <c r="A978" s="190" t="s">
        <v>1189</v>
      </c>
      <c r="B978" s="190" t="s">
        <v>2698</v>
      </c>
    </row>
    <row r="979" spans="1:2" ht="15" x14ac:dyDescent="0.25">
      <c r="A979" s="190" t="s">
        <v>1190</v>
      </c>
      <c r="B979" s="190" t="s">
        <v>2699</v>
      </c>
    </row>
    <row r="980" spans="1:2" ht="15" x14ac:dyDescent="0.25">
      <c r="A980" s="190" t="s">
        <v>1191</v>
      </c>
      <c r="B980" s="190" t="s">
        <v>2700</v>
      </c>
    </row>
    <row r="981" spans="1:2" ht="15" x14ac:dyDescent="0.25">
      <c r="A981" s="190" t="s">
        <v>1765</v>
      </c>
      <c r="B981" s="190" t="s">
        <v>2653</v>
      </c>
    </row>
    <row r="982" spans="1:2" ht="15" x14ac:dyDescent="0.25">
      <c r="A982" s="190" t="s">
        <v>1192</v>
      </c>
      <c r="B982" s="190" t="s">
        <v>2701</v>
      </c>
    </row>
    <row r="983" spans="1:2" ht="15" x14ac:dyDescent="0.25">
      <c r="A983" s="190" t="s">
        <v>1193</v>
      </c>
      <c r="B983" s="190" t="s">
        <v>2656</v>
      </c>
    </row>
    <row r="984" spans="1:2" ht="15" x14ac:dyDescent="0.25">
      <c r="A984" s="190" t="s">
        <v>1766</v>
      </c>
      <c r="B984" s="190" t="s">
        <v>2702</v>
      </c>
    </row>
    <row r="985" spans="1:2" ht="15" x14ac:dyDescent="0.25">
      <c r="A985" s="190" t="s">
        <v>1194</v>
      </c>
      <c r="B985" s="190" t="s">
        <v>2703</v>
      </c>
    </row>
    <row r="986" spans="1:2" ht="15" x14ac:dyDescent="0.25">
      <c r="A986" s="190" t="s">
        <v>1195</v>
      </c>
      <c r="B986" s="190" t="s">
        <v>2704</v>
      </c>
    </row>
    <row r="987" spans="1:2" ht="15" x14ac:dyDescent="0.25">
      <c r="A987" s="190" t="s">
        <v>2705</v>
      </c>
      <c r="B987" s="190" t="s">
        <v>2706</v>
      </c>
    </row>
  </sheetData>
  <sheetProtection password="C44C" sheet="1"/>
  <mergeCells count="2">
    <mergeCell ref="A3:B3"/>
    <mergeCell ref="A1:B1"/>
  </mergeCells>
  <phoneticPr fontId="2" type="noConversion"/>
  <pageMargins left="0.78740157499999996" right="0.78740157499999996" top="0.984251969" bottom="0.984251969" header="0.49212598499999999" footer="0.49212598499999999"/>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02"/>
  <dimension ref="A1:N76"/>
  <sheetViews>
    <sheetView showGridLines="0" zoomScale="90" zoomScaleNormal="90" zoomScaleSheetLayoutView="100" workbookViewId="0">
      <selection activeCell="B16" sqref="B16:J16"/>
    </sheetView>
  </sheetViews>
  <sheetFormatPr defaultRowHeight="12.75" x14ac:dyDescent="0.2"/>
  <cols>
    <col min="1" max="1" width="34" bestFit="1" customWidth="1"/>
    <col min="2" max="10" width="14.7109375" customWidth="1"/>
    <col min="11" max="11" width="9.140625" customWidth="1"/>
  </cols>
  <sheetData>
    <row r="1" spans="1:14" ht="13.5" thickBot="1" x14ac:dyDescent="0.25">
      <c r="A1" s="112"/>
      <c r="B1" s="113"/>
      <c r="C1" s="226" t="s">
        <v>522</v>
      </c>
      <c r="D1" s="227"/>
      <c r="E1" s="227"/>
      <c r="F1" s="227"/>
      <c r="G1" s="227"/>
      <c r="H1" s="227"/>
      <c r="I1" s="227"/>
      <c r="J1" s="228"/>
      <c r="L1" s="223" t="s">
        <v>2778</v>
      </c>
      <c r="M1" s="224"/>
      <c r="N1" s="225"/>
    </row>
    <row r="2" spans="1:14" ht="32.25" customHeight="1" thickBot="1" x14ac:dyDescent="0.25">
      <c r="A2" s="114"/>
      <c r="B2" s="115"/>
      <c r="C2" s="229"/>
      <c r="D2" s="230"/>
      <c r="E2" s="230"/>
      <c r="F2" s="230"/>
      <c r="G2" s="230"/>
      <c r="H2" s="230"/>
      <c r="I2" s="230"/>
      <c r="J2" s="231"/>
    </row>
    <row r="3" spans="1:14" x14ac:dyDescent="0.2">
      <c r="A3" s="1"/>
      <c r="B3" s="1"/>
      <c r="C3" s="1"/>
      <c r="D3" s="1"/>
      <c r="E3" s="1"/>
      <c r="F3" s="1"/>
      <c r="G3" s="1"/>
      <c r="H3" s="1"/>
    </row>
    <row r="4" spans="1:14" x14ac:dyDescent="0.2">
      <c r="A4" s="116" t="s">
        <v>1198</v>
      </c>
      <c r="B4" s="1"/>
      <c r="C4" s="1"/>
      <c r="D4" s="1"/>
      <c r="E4" s="1"/>
      <c r="F4" s="1"/>
      <c r="G4" s="1"/>
      <c r="H4" s="1"/>
    </row>
    <row r="5" spans="1:14" ht="57.75" customHeight="1" x14ac:dyDescent="0.2">
      <c r="A5" s="232" t="s">
        <v>520</v>
      </c>
      <c r="B5" s="233"/>
      <c r="C5" s="233"/>
      <c r="D5" s="233"/>
      <c r="E5" s="233"/>
      <c r="F5" s="233"/>
      <c r="G5" s="233"/>
      <c r="H5" s="233"/>
      <c r="I5" s="233"/>
      <c r="J5" s="233"/>
    </row>
    <row r="6" spans="1:14" x14ac:dyDescent="0.2">
      <c r="A6" s="1"/>
      <c r="B6" s="1"/>
      <c r="C6" s="1"/>
      <c r="D6" s="1"/>
      <c r="E6" s="1"/>
      <c r="F6" s="1"/>
      <c r="G6" s="1"/>
      <c r="H6" s="1"/>
    </row>
    <row r="7" spans="1:14" x14ac:dyDescent="0.2">
      <c r="A7" s="116" t="s">
        <v>1197</v>
      </c>
      <c r="B7" s="1"/>
      <c r="C7" s="1"/>
      <c r="D7" s="1"/>
      <c r="E7" s="1"/>
      <c r="F7" s="1"/>
      <c r="G7" s="1"/>
      <c r="H7" s="1"/>
    </row>
    <row r="8" spans="1:14" ht="43.5" customHeight="1" x14ac:dyDescent="0.2">
      <c r="A8" s="234" t="s">
        <v>1237</v>
      </c>
      <c r="B8" s="235"/>
      <c r="C8" s="235"/>
      <c r="D8" s="235"/>
      <c r="E8" s="235"/>
      <c r="F8" s="235"/>
      <c r="G8" s="235"/>
      <c r="H8" s="235"/>
      <c r="I8" s="235"/>
      <c r="J8" s="235"/>
    </row>
    <row r="9" spans="1:14" x14ac:dyDescent="0.2">
      <c r="A9" s="1"/>
      <c r="B9" s="1"/>
      <c r="C9" s="1"/>
      <c r="D9" s="1"/>
      <c r="E9" s="1"/>
      <c r="F9" s="1"/>
      <c r="G9" s="1"/>
      <c r="H9" s="1"/>
    </row>
    <row r="10" spans="1:14" x14ac:dyDescent="0.2">
      <c r="A10" s="116" t="s">
        <v>1199</v>
      </c>
      <c r="B10" s="1"/>
      <c r="C10" s="1"/>
      <c r="D10" s="1"/>
      <c r="E10" s="1"/>
      <c r="F10" s="1"/>
      <c r="G10" s="1"/>
      <c r="H10" s="1"/>
    </row>
    <row r="11" spans="1:14" ht="13.5" thickBot="1" x14ac:dyDescent="0.25">
      <c r="A11" s="116"/>
      <c r="B11" s="1"/>
      <c r="C11" s="1"/>
      <c r="D11" s="1"/>
      <c r="E11" s="1"/>
      <c r="F11" s="1"/>
      <c r="G11" s="1"/>
      <c r="H11" s="1"/>
    </row>
    <row r="12" spans="1:14" ht="24.95" customHeight="1" thickBot="1" x14ac:dyDescent="0.25">
      <c r="A12" s="155" t="s">
        <v>1730</v>
      </c>
      <c r="B12" s="218" t="s">
        <v>1731</v>
      </c>
      <c r="C12" s="219"/>
      <c r="D12" s="219"/>
      <c r="E12" s="219"/>
      <c r="F12" s="219"/>
      <c r="G12" s="219"/>
      <c r="H12" s="219"/>
      <c r="I12" s="219"/>
      <c r="J12" s="219"/>
    </row>
    <row r="13" spans="1:14" ht="24.95" customHeight="1" thickBot="1" x14ac:dyDescent="0.25">
      <c r="A13" s="155" t="s">
        <v>1200</v>
      </c>
      <c r="B13" s="218" t="s">
        <v>2715</v>
      </c>
      <c r="C13" s="219"/>
      <c r="D13" s="219"/>
      <c r="E13" s="219"/>
      <c r="F13" s="219"/>
      <c r="G13" s="219"/>
      <c r="H13" s="219"/>
      <c r="I13" s="219"/>
      <c r="J13" s="219"/>
    </row>
    <row r="14" spans="1:14" ht="24.95" customHeight="1" thickBot="1" x14ac:dyDescent="0.25">
      <c r="A14" s="155" t="s">
        <v>1201</v>
      </c>
      <c r="B14" s="220" t="s">
        <v>1202</v>
      </c>
      <c r="C14" s="221"/>
      <c r="D14" s="221"/>
      <c r="E14" s="221"/>
      <c r="F14" s="221"/>
      <c r="G14" s="221"/>
      <c r="H14" s="221"/>
      <c r="I14" s="221"/>
      <c r="J14" s="222"/>
    </row>
    <row r="15" spans="1:14" ht="24.95" customHeight="1" thickBot="1" x14ac:dyDescent="0.25">
      <c r="A15" s="155" t="s">
        <v>517</v>
      </c>
      <c r="B15" s="244" t="s">
        <v>1203</v>
      </c>
      <c r="C15" s="245"/>
      <c r="D15" s="245"/>
      <c r="E15" s="245"/>
      <c r="F15" s="245"/>
      <c r="G15" s="245"/>
      <c r="H15" s="245"/>
      <c r="I15" s="245"/>
      <c r="J15" s="246"/>
    </row>
    <row r="16" spans="1:14" ht="24.95" customHeight="1" thickBot="1" x14ac:dyDescent="0.25">
      <c r="A16" s="155" t="s">
        <v>518</v>
      </c>
      <c r="B16" s="220" t="s">
        <v>1204</v>
      </c>
      <c r="C16" s="221"/>
      <c r="D16" s="221"/>
      <c r="E16" s="221"/>
      <c r="F16" s="221"/>
      <c r="G16" s="221"/>
      <c r="H16" s="221"/>
      <c r="I16" s="221"/>
      <c r="J16" s="222"/>
    </row>
    <row r="17" spans="1:10" ht="24.95" customHeight="1" thickBot="1" x14ac:dyDescent="0.25">
      <c r="A17" s="155" t="s">
        <v>519</v>
      </c>
      <c r="B17" s="239" t="s">
        <v>1205</v>
      </c>
      <c r="C17" s="240"/>
      <c r="D17" s="240"/>
      <c r="E17" s="240"/>
      <c r="F17" s="240"/>
      <c r="G17" s="240"/>
      <c r="H17" s="240"/>
      <c r="I17" s="240"/>
      <c r="J17" s="240"/>
    </row>
    <row r="18" spans="1:10" ht="24.95" customHeight="1" thickBot="1" x14ac:dyDescent="0.25">
      <c r="A18" s="155" t="s">
        <v>1709</v>
      </c>
      <c r="B18" s="239" t="s">
        <v>1712</v>
      </c>
      <c r="C18" s="240"/>
      <c r="D18" s="240"/>
      <c r="E18" s="240"/>
      <c r="F18" s="240"/>
      <c r="G18" s="240"/>
      <c r="H18" s="240"/>
      <c r="I18" s="240"/>
      <c r="J18" s="240"/>
    </row>
    <row r="19" spans="1:10" ht="24.95" customHeight="1" thickBot="1" x14ac:dyDescent="0.25">
      <c r="A19" s="155" t="s">
        <v>1710</v>
      </c>
      <c r="B19" s="241" t="s">
        <v>521</v>
      </c>
      <c r="C19" s="242"/>
      <c r="D19" s="242"/>
      <c r="E19" s="242"/>
      <c r="F19" s="242"/>
      <c r="G19" s="242"/>
      <c r="H19" s="242"/>
      <c r="I19" s="242"/>
      <c r="J19" s="243"/>
    </row>
    <row r="20" spans="1:10" ht="24.95" customHeight="1" thickBot="1" x14ac:dyDescent="0.25">
      <c r="A20" s="155" t="s">
        <v>1711</v>
      </c>
      <c r="B20" s="236" t="s">
        <v>1206</v>
      </c>
      <c r="C20" s="237"/>
      <c r="D20" s="237"/>
      <c r="E20" s="237"/>
      <c r="F20" s="237"/>
      <c r="G20" s="237"/>
      <c r="H20" s="237"/>
      <c r="I20" s="237"/>
      <c r="J20" s="238"/>
    </row>
    <row r="76" spans="14:14" x14ac:dyDescent="0.2">
      <c r="N76" s="174"/>
    </row>
  </sheetData>
  <sheetProtection password="C44C" sheet="1" objects="1" scenarios="1"/>
  <mergeCells count="13">
    <mergeCell ref="B20:J20"/>
    <mergeCell ref="B13:J13"/>
    <mergeCell ref="B16:J16"/>
    <mergeCell ref="B17:J17"/>
    <mergeCell ref="B19:J19"/>
    <mergeCell ref="B18:J18"/>
    <mergeCell ref="B15:J15"/>
    <mergeCell ref="B12:J12"/>
    <mergeCell ref="B14:J14"/>
    <mergeCell ref="L1:N1"/>
    <mergeCell ref="C1:J2"/>
    <mergeCell ref="A5:J5"/>
    <mergeCell ref="A8:J8"/>
  </mergeCells>
  <phoneticPr fontId="0" type="noConversion"/>
  <hyperlinks>
    <hyperlink ref="A13" location="'01.Capa'!A1" display="01. Capa:"/>
    <hyperlink ref="A14" location="'02.Especificações do Boleto'!A1" display="02. Especificações do Boleto:"/>
    <hyperlink ref="A15" location="'03.Remessa - CNAB400'!A1" display="03. Remessa CNAB400:"/>
    <hyperlink ref="A16" location="'04.Retorno - CNAB400'!A1" display="04. Retorno CNAB400:"/>
    <hyperlink ref="A17" location="'05.Remessa - Opção CNAB240'!A1" display="05. Remessa CNAB240:"/>
    <hyperlink ref="A19" location="'07.Pré-homologação de Boletos'!A1" display="07. Pré-homologação de boletos"/>
    <hyperlink ref="A20" location="'08.Funções em Delphi'!A1" display="08. Funções em Delphi:"/>
    <hyperlink ref="A18" location="'06.Retorno - Opção CNAB240'!A1" display="06. Retorno CNAB240:"/>
    <hyperlink ref="A12" location="Recomendações!A1" display="Recomendações de Implantação"/>
  </hyperlinks>
  <pageMargins left="0.51181102362204722" right="0.51181102362204722" top="0.78740157480314965" bottom="0.78740157480314965" header="0.31496062992125984" footer="0.31496062992125984"/>
  <pageSetup paperSize="9" scale="8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03"/>
  <dimension ref="A1:M15"/>
  <sheetViews>
    <sheetView workbookViewId="0">
      <selection activeCell="B31" sqref="B31"/>
    </sheetView>
  </sheetViews>
  <sheetFormatPr defaultRowHeight="12.75" x14ac:dyDescent="0.2"/>
  <cols>
    <col min="1" max="6" width="9.140625" style="171"/>
    <col min="7" max="7" width="20.7109375" style="171" customWidth="1"/>
    <col min="8" max="16384" width="9.140625" style="171"/>
  </cols>
  <sheetData>
    <row r="1" spans="1:13" ht="16.5" customHeight="1" x14ac:dyDescent="0.2">
      <c r="A1" s="247"/>
      <c r="B1" s="247"/>
      <c r="C1" s="247"/>
      <c r="D1" s="247"/>
      <c r="E1" s="247"/>
      <c r="F1" s="247"/>
      <c r="G1" s="247"/>
      <c r="H1" s="247"/>
      <c r="I1" s="163"/>
      <c r="J1" s="163"/>
      <c r="K1" s="163"/>
      <c r="L1" s="163"/>
      <c r="M1" s="163"/>
    </row>
    <row r="2" spans="1:13" x14ac:dyDescent="0.2">
      <c r="A2" s="163"/>
      <c r="B2" s="163"/>
      <c r="C2" s="163"/>
      <c r="D2" s="163"/>
      <c r="E2" s="163"/>
      <c r="F2" s="163"/>
      <c r="G2" s="163"/>
      <c r="H2" s="163"/>
      <c r="I2" s="163"/>
      <c r="J2" s="163"/>
      <c r="K2" s="163"/>
      <c r="L2" s="163"/>
      <c r="M2" s="163"/>
    </row>
    <row r="3" spans="1:13" x14ac:dyDescent="0.2">
      <c r="A3" s="163"/>
      <c r="B3" s="163"/>
      <c r="C3" s="163"/>
      <c r="D3" s="163"/>
      <c r="E3" s="163"/>
      <c r="F3" s="163"/>
      <c r="G3" s="163"/>
      <c r="H3" s="163"/>
      <c r="I3" s="163"/>
      <c r="J3" s="163"/>
      <c r="K3" s="163"/>
      <c r="L3" s="163"/>
      <c r="M3" s="163"/>
    </row>
    <row r="4" spans="1:13" x14ac:dyDescent="0.2">
      <c r="A4" s="163"/>
      <c r="B4" s="163"/>
      <c r="C4" s="163"/>
      <c r="D4" s="163"/>
      <c r="E4" s="163"/>
      <c r="F4" s="163"/>
      <c r="G4" s="163"/>
      <c r="H4" s="163"/>
      <c r="I4" s="163"/>
      <c r="J4" s="163"/>
      <c r="K4" s="163"/>
      <c r="L4" s="163"/>
      <c r="M4" s="163"/>
    </row>
    <row r="5" spans="1:13" x14ac:dyDescent="0.2">
      <c r="A5" s="163"/>
      <c r="B5" s="163"/>
      <c r="C5" s="163"/>
      <c r="D5" s="163"/>
      <c r="E5" s="163"/>
      <c r="F5" s="163"/>
      <c r="G5" s="163"/>
      <c r="H5" s="163"/>
      <c r="I5" s="163"/>
      <c r="J5" s="163"/>
      <c r="K5" s="163"/>
      <c r="L5" s="163"/>
      <c r="M5" s="163"/>
    </row>
    <row r="6" spans="1:13" x14ac:dyDescent="0.2">
      <c r="A6" s="163"/>
      <c r="B6" s="163"/>
      <c r="C6" s="163"/>
      <c r="D6" s="163"/>
      <c r="E6" s="163"/>
      <c r="F6" s="163"/>
      <c r="G6" s="163"/>
      <c r="H6" s="163"/>
      <c r="I6" s="163"/>
      <c r="J6" s="163"/>
      <c r="K6" s="163"/>
      <c r="L6" s="163"/>
      <c r="M6" s="163"/>
    </row>
    <row r="7" spans="1:13" x14ac:dyDescent="0.2">
      <c r="A7" s="163"/>
      <c r="B7" s="163"/>
      <c r="C7" s="163"/>
      <c r="D7" s="163"/>
      <c r="E7" s="163"/>
      <c r="F7" s="163"/>
      <c r="G7" s="163"/>
      <c r="H7" s="163"/>
      <c r="I7" s="163"/>
      <c r="J7" s="163"/>
      <c r="K7" s="163"/>
      <c r="L7" s="163"/>
      <c r="M7" s="163"/>
    </row>
    <row r="8" spans="1:13" x14ac:dyDescent="0.2">
      <c r="A8" s="163"/>
      <c r="B8" s="163"/>
      <c r="C8" s="163"/>
      <c r="D8" s="163"/>
      <c r="E8" s="163"/>
      <c r="F8" s="163"/>
      <c r="G8" s="163"/>
      <c r="H8" s="163"/>
      <c r="I8" s="163"/>
      <c r="J8" s="163"/>
      <c r="K8" s="163"/>
      <c r="L8" s="163"/>
      <c r="M8" s="163"/>
    </row>
    <row r="9" spans="1:13" x14ac:dyDescent="0.2">
      <c r="A9" s="163"/>
      <c r="B9" s="163"/>
      <c r="C9" s="163"/>
      <c r="D9" s="163"/>
      <c r="E9" s="163"/>
      <c r="F9" s="163"/>
      <c r="G9" s="163"/>
      <c r="H9" s="163"/>
      <c r="I9" s="163"/>
      <c r="J9" s="163"/>
      <c r="K9" s="163"/>
      <c r="L9" s="163"/>
      <c r="M9" s="163"/>
    </row>
    <row r="10" spans="1:13" x14ac:dyDescent="0.2">
      <c r="A10" s="163"/>
      <c r="B10" s="163"/>
      <c r="C10" s="163"/>
      <c r="D10" s="163"/>
      <c r="E10" s="163"/>
      <c r="F10" s="163"/>
      <c r="G10" s="163"/>
      <c r="H10" s="163"/>
      <c r="I10" s="163"/>
      <c r="J10" s="163"/>
      <c r="K10" s="163"/>
      <c r="L10" s="163"/>
      <c r="M10" s="163"/>
    </row>
    <row r="11" spans="1:13" x14ac:dyDescent="0.2">
      <c r="A11" s="163"/>
      <c r="B11" s="163"/>
      <c r="C11" s="163"/>
      <c r="D11" s="163"/>
      <c r="E11" s="163"/>
      <c r="F11" s="163"/>
      <c r="G11" s="163"/>
      <c r="H11" s="163"/>
      <c r="I11" s="163"/>
      <c r="J11" s="163"/>
      <c r="K11" s="163"/>
      <c r="L11" s="163"/>
      <c r="M11" s="163"/>
    </row>
    <row r="12" spans="1:13" x14ac:dyDescent="0.2">
      <c r="A12" s="163"/>
      <c r="B12" s="163"/>
      <c r="C12" s="163"/>
      <c r="D12" s="163"/>
      <c r="E12" s="163"/>
      <c r="F12" s="163"/>
      <c r="G12" s="163"/>
      <c r="H12" s="163"/>
      <c r="I12" s="163"/>
      <c r="J12" s="163"/>
      <c r="K12" s="163"/>
      <c r="L12" s="163"/>
      <c r="M12" s="163"/>
    </row>
    <row r="13" spans="1:13" x14ac:dyDescent="0.2">
      <c r="A13" s="163"/>
      <c r="B13" s="163"/>
      <c r="C13" s="163"/>
      <c r="D13" s="163"/>
      <c r="E13" s="163"/>
      <c r="F13" s="163"/>
      <c r="G13" s="163"/>
      <c r="H13" s="163"/>
      <c r="I13" s="163"/>
      <c r="J13" s="163"/>
      <c r="K13" s="163"/>
      <c r="L13" s="163"/>
      <c r="M13" s="163"/>
    </row>
    <row r="14" spans="1:13" x14ac:dyDescent="0.2">
      <c r="A14" s="163"/>
      <c r="B14" s="163"/>
      <c r="C14" s="163"/>
      <c r="D14" s="163"/>
      <c r="E14" s="163"/>
      <c r="F14" s="163"/>
      <c r="G14" s="163"/>
      <c r="H14" s="163"/>
      <c r="I14" s="163"/>
      <c r="J14" s="163"/>
      <c r="K14" s="163"/>
      <c r="L14" s="163"/>
      <c r="M14" s="163"/>
    </row>
    <row r="15" spans="1:13" x14ac:dyDescent="0.2">
      <c r="A15" s="163"/>
      <c r="B15" s="163"/>
      <c r="C15" s="163"/>
      <c r="D15" s="163"/>
      <c r="E15" s="163"/>
      <c r="F15" s="163"/>
      <c r="G15" s="163"/>
      <c r="H15" s="163"/>
      <c r="I15" s="163"/>
      <c r="J15" s="163"/>
      <c r="K15" s="163"/>
      <c r="L15" s="163"/>
      <c r="M15" s="163"/>
    </row>
  </sheetData>
  <sheetProtection password="C44C" sheet="1" objects="1" scenarios="1"/>
  <mergeCells count="1">
    <mergeCell ref="A1:H1"/>
  </mergeCell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04"/>
  <dimension ref="A1:IV985"/>
  <sheetViews>
    <sheetView showGridLines="0" showZeros="0" zoomScaleNormal="100" zoomScaleSheetLayoutView="100" workbookViewId="0">
      <selection activeCell="K11" sqref="K11"/>
    </sheetView>
  </sheetViews>
  <sheetFormatPr defaultColWidth="0" defaultRowHeight="12.75" x14ac:dyDescent="0.2"/>
  <cols>
    <col min="1" max="1" width="3" bestFit="1" customWidth="1"/>
    <col min="2" max="2" width="10.85546875" customWidth="1"/>
    <col min="3" max="3" width="11.5703125" customWidth="1"/>
    <col min="4" max="4" width="10.7109375" customWidth="1"/>
    <col min="5" max="6" width="15.7109375" customWidth="1"/>
    <col min="7" max="7" width="1.7109375" customWidth="1"/>
    <col min="8" max="8" width="14.42578125" bestFit="1" customWidth="1"/>
    <col min="9" max="9" width="10.5703125" bestFit="1" customWidth="1"/>
    <col min="10" max="10" width="12.140625" customWidth="1"/>
    <col min="11" max="11" width="26" bestFit="1" customWidth="1"/>
    <col min="12" max="12" width="9.140625" customWidth="1"/>
    <col min="13" max="13" width="16.7109375" customWidth="1"/>
    <col min="14" max="26" width="9.140625" customWidth="1"/>
    <col min="27" max="27" width="6.7109375" bestFit="1" customWidth="1"/>
    <col min="28" max="28" width="36.140625" bestFit="1" customWidth="1"/>
    <col min="29" max="253" width="9.140625" customWidth="1"/>
    <col min="254" max="254" width="24.5703125" customWidth="1"/>
    <col min="255" max="255" width="17.28515625" hidden="1" customWidth="1"/>
    <col min="256" max="16384" width="36.140625" hidden="1"/>
  </cols>
  <sheetData>
    <row r="1" spans="1:256" ht="18" customHeight="1" x14ac:dyDescent="0.2">
      <c r="A1" s="14"/>
      <c r="B1" s="259"/>
      <c r="C1" s="260"/>
      <c r="D1" s="263" t="s">
        <v>2725</v>
      </c>
      <c r="E1" s="264"/>
      <c r="F1" s="264"/>
      <c r="G1" s="264"/>
      <c r="H1" s="264"/>
      <c r="I1" s="264"/>
      <c r="J1" s="264"/>
      <c r="K1" s="265"/>
      <c r="IU1" s="216" t="s">
        <v>20</v>
      </c>
      <c r="IV1" s="216"/>
    </row>
    <row r="2" spans="1:256" ht="18" customHeight="1" thickBot="1" x14ac:dyDescent="0.25">
      <c r="A2" s="14"/>
      <c r="B2" s="261"/>
      <c r="C2" s="262"/>
      <c r="D2" s="266"/>
      <c r="E2" s="267"/>
      <c r="F2" s="267"/>
      <c r="G2" s="267"/>
      <c r="H2" s="267"/>
      <c r="I2" s="267"/>
      <c r="J2" s="267"/>
      <c r="K2" s="268"/>
      <c r="IU2" s="3" t="s">
        <v>22</v>
      </c>
      <c r="IV2" s="3" t="s">
        <v>19</v>
      </c>
    </row>
    <row r="3" spans="1:256" ht="13.5" thickBot="1" x14ac:dyDescent="0.25">
      <c r="IU3" s="203" t="s">
        <v>1740</v>
      </c>
      <c r="IV3" s="199" t="s">
        <v>1196</v>
      </c>
    </row>
    <row r="4" spans="1:256" ht="12.75" customHeight="1" x14ac:dyDescent="0.2">
      <c r="A4" s="254" t="s">
        <v>74</v>
      </c>
      <c r="B4" s="5"/>
      <c r="C4" s="6"/>
      <c r="D4" s="6"/>
      <c r="E4" s="6"/>
      <c r="F4" s="6"/>
      <c r="G4" s="6"/>
      <c r="H4" s="6"/>
      <c r="I4" s="6"/>
      <c r="J4" s="6"/>
      <c r="K4" s="7"/>
      <c r="IU4" s="210" t="s">
        <v>258</v>
      </c>
      <c r="IV4" s="211" t="s">
        <v>1767</v>
      </c>
    </row>
    <row r="5" spans="1:256" x14ac:dyDescent="0.2">
      <c r="A5" s="254"/>
      <c r="B5" s="15" t="s">
        <v>5</v>
      </c>
      <c r="C5" s="9"/>
      <c r="D5" s="9"/>
      <c r="E5" s="9"/>
      <c r="F5" s="9"/>
      <c r="G5" s="9"/>
      <c r="H5" s="9"/>
      <c r="I5" s="9"/>
      <c r="J5" s="9"/>
      <c r="K5" s="10"/>
      <c r="IU5" s="210" t="s">
        <v>259</v>
      </c>
      <c r="IV5" s="211" t="s">
        <v>1768</v>
      </c>
    </row>
    <row r="6" spans="1:256" x14ac:dyDescent="0.2">
      <c r="A6" s="254"/>
      <c r="B6" s="16" t="s">
        <v>10</v>
      </c>
      <c r="C6" s="258" t="s">
        <v>6</v>
      </c>
      <c r="D6" s="258"/>
      <c r="E6" s="17" t="s">
        <v>9</v>
      </c>
      <c r="F6" s="4" t="s">
        <v>73</v>
      </c>
      <c r="G6" s="13"/>
      <c r="H6" s="17" t="s">
        <v>8</v>
      </c>
      <c r="I6" s="197"/>
      <c r="J6" s="17" t="s">
        <v>9</v>
      </c>
      <c r="K6" s="207" t="str">
        <f>IF(ISERROR(VLOOKUP(I6,Parâmetros!A5:B987,2,FALSE)),"",VLOOKUP(I6,Parâmetros!A5:L987,2,FALSE))</f>
        <v/>
      </c>
      <c r="IU6" s="210" t="s">
        <v>260</v>
      </c>
      <c r="IV6" s="211" t="s">
        <v>1769</v>
      </c>
    </row>
    <row r="7" spans="1:256" x14ac:dyDescent="0.2">
      <c r="A7" s="254"/>
      <c r="B7" s="8"/>
      <c r="C7" s="9"/>
      <c r="D7" s="9"/>
      <c r="E7" s="9"/>
      <c r="F7" s="9"/>
      <c r="G7" s="9"/>
      <c r="H7" s="9"/>
      <c r="I7" s="9"/>
      <c r="J7" s="9"/>
      <c r="K7" s="10"/>
      <c r="IU7" s="210" t="s">
        <v>261</v>
      </c>
      <c r="IV7" s="211" t="s">
        <v>1770</v>
      </c>
    </row>
    <row r="8" spans="1:256" x14ac:dyDescent="0.2">
      <c r="A8" s="254"/>
      <c r="B8" s="15" t="s">
        <v>2716</v>
      </c>
      <c r="C8" s="9"/>
      <c r="D8" s="9"/>
      <c r="E8" s="9"/>
      <c r="F8" s="9"/>
      <c r="G8" s="9"/>
      <c r="H8" s="9"/>
      <c r="I8" s="9"/>
      <c r="J8" s="9"/>
      <c r="K8" s="10"/>
      <c r="IU8" s="210" t="s">
        <v>262</v>
      </c>
      <c r="IV8" s="211" t="s">
        <v>1771</v>
      </c>
    </row>
    <row r="9" spans="1:256" x14ac:dyDescent="0.2">
      <c r="A9" s="254"/>
      <c r="B9" s="269" t="s">
        <v>24</v>
      </c>
      <c r="C9" s="270"/>
      <c r="D9" s="271"/>
      <c r="E9" s="272"/>
      <c r="F9" s="272"/>
      <c r="G9" s="272"/>
      <c r="H9" s="272"/>
      <c r="I9" s="272"/>
      <c r="J9" s="272"/>
      <c r="K9" s="273"/>
      <c r="IU9" s="210" t="s">
        <v>263</v>
      </c>
      <c r="IV9" s="211" t="s">
        <v>1772</v>
      </c>
    </row>
    <row r="10" spans="1:256" x14ac:dyDescent="0.2">
      <c r="A10" s="254"/>
      <c r="B10" s="16" t="s">
        <v>25</v>
      </c>
      <c r="C10" s="275"/>
      <c r="D10" s="276"/>
      <c r="E10" s="256" t="e">
        <f ca="1">VerificarDocumento(C10)</f>
        <v>#NAME?</v>
      </c>
      <c r="F10" s="257"/>
      <c r="G10" s="4"/>
      <c r="H10" s="17" t="s">
        <v>23</v>
      </c>
      <c r="I10" s="196"/>
      <c r="J10" s="193" t="s">
        <v>26</v>
      </c>
      <c r="K10" s="208"/>
      <c r="IU10" s="210" t="s">
        <v>264</v>
      </c>
      <c r="IV10" s="211" t="s">
        <v>1773</v>
      </c>
    </row>
    <row r="11" spans="1:256" ht="13.5" x14ac:dyDescent="0.25">
      <c r="A11" s="254"/>
      <c r="B11" s="19" t="s">
        <v>27</v>
      </c>
      <c r="C11" s="198"/>
      <c r="D11" s="274"/>
      <c r="E11" s="251"/>
      <c r="F11" s="252"/>
      <c r="G11" s="13"/>
      <c r="H11" s="17" t="s">
        <v>28</v>
      </c>
      <c r="I11" s="195"/>
      <c r="J11" s="20" t="s">
        <v>2707</v>
      </c>
      <c r="K11" s="209"/>
      <c r="M11" s="194"/>
      <c r="IU11" s="210" t="s">
        <v>265</v>
      </c>
      <c r="IV11" s="211" t="s">
        <v>1774</v>
      </c>
    </row>
    <row r="12" spans="1:256" x14ac:dyDescent="0.2">
      <c r="A12" s="254"/>
      <c r="B12" s="248" t="s">
        <v>29</v>
      </c>
      <c r="C12" s="249"/>
      <c r="D12" s="255"/>
      <c r="E12" s="251"/>
      <c r="F12" s="252"/>
      <c r="G12" s="22"/>
      <c r="H12" s="21" t="s">
        <v>30</v>
      </c>
      <c r="I12" s="250"/>
      <c r="J12" s="251"/>
      <c r="K12" s="253"/>
      <c r="IU12" s="210" t="s">
        <v>266</v>
      </c>
      <c r="IV12" s="211" t="s">
        <v>1775</v>
      </c>
    </row>
    <row r="13" spans="1:256" x14ac:dyDescent="0.2">
      <c r="A13" s="254"/>
      <c r="B13" s="83"/>
      <c r="C13" s="84"/>
      <c r="D13" s="86"/>
      <c r="E13" s="86"/>
      <c r="F13" s="86"/>
      <c r="G13" s="85"/>
      <c r="H13" s="84"/>
      <c r="I13" s="86"/>
      <c r="J13" s="86"/>
      <c r="K13" s="87"/>
      <c r="IU13" s="210" t="s">
        <v>267</v>
      </c>
      <c r="IV13" s="211" t="s">
        <v>1776</v>
      </c>
    </row>
    <row r="14" spans="1:256" x14ac:dyDescent="0.2">
      <c r="A14" s="254"/>
      <c r="B14" s="15" t="s">
        <v>2726</v>
      </c>
      <c r="C14" s="9"/>
      <c r="D14" s="9"/>
      <c r="E14" s="9"/>
      <c r="F14" s="9"/>
      <c r="G14" s="9"/>
      <c r="H14" s="9"/>
      <c r="I14" s="9"/>
      <c r="J14" s="9"/>
      <c r="K14" s="10"/>
      <c r="IU14" s="210" t="s">
        <v>268</v>
      </c>
      <c r="IV14" s="211" t="s">
        <v>1777</v>
      </c>
    </row>
    <row r="15" spans="1:256" x14ac:dyDescent="0.2">
      <c r="A15" s="254"/>
      <c r="B15" s="248" t="s">
        <v>29</v>
      </c>
      <c r="C15" s="249"/>
      <c r="D15" s="250"/>
      <c r="E15" s="251"/>
      <c r="F15" s="252"/>
      <c r="G15" s="22"/>
      <c r="H15" s="21" t="s">
        <v>30</v>
      </c>
      <c r="I15" s="251"/>
      <c r="J15" s="251"/>
      <c r="K15" s="253"/>
      <c r="IU15" s="210" t="s">
        <v>269</v>
      </c>
      <c r="IV15" s="211" t="s">
        <v>1778</v>
      </c>
    </row>
    <row r="16" spans="1:256" ht="13.5" thickBot="1" x14ac:dyDescent="0.25">
      <c r="A16" s="254"/>
      <c r="B16" s="18"/>
      <c r="C16" s="11"/>
      <c r="D16" s="11"/>
      <c r="E16" s="11"/>
      <c r="F16" s="11"/>
      <c r="G16" s="11"/>
      <c r="H16" s="11"/>
      <c r="I16" s="11"/>
      <c r="J16" s="11"/>
      <c r="K16" s="12"/>
      <c r="IU16" s="210" t="s">
        <v>270</v>
      </c>
      <c r="IV16" s="211" t="s">
        <v>1779</v>
      </c>
    </row>
    <row r="17" spans="2:256" x14ac:dyDescent="0.2">
      <c r="B17" s="9"/>
      <c r="C17" s="9"/>
      <c r="D17" s="9"/>
      <c r="E17" s="9"/>
      <c r="F17" s="9"/>
      <c r="G17" s="9"/>
      <c r="H17" s="9"/>
      <c r="I17" s="9"/>
      <c r="J17" s="9"/>
      <c r="K17" s="9"/>
      <c r="IU17" s="210" t="s">
        <v>271</v>
      </c>
      <c r="IV17" s="211" t="s">
        <v>1780</v>
      </c>
    </row>
    <row r="18" spans="2:256" x14ac:dyDescent="0.2">
      <c r="IU18" s="210" t="s">
        <v>272</v>
      </c>
      <c r="IV18" s="211" t="s">
        <v>1781</v>
      </c>
    </row>
    <row r="19" spans="2:256" x14ac:dyDescent="0.2">
      <c r="B19" s="189" t="s">
        <v>1236</v>
      </c>
      <c r="IU19" s="210" t="s">
        <v>273</v>
      </c>
      <c r="IV19" s="211" t="s">
        <v>1782</v>
      </c>
    </row>
    <row r="20" spans="2:256" x14ac:dyDescent="0.2">
      <c r="IU20" s="210" t="s">
        <v>274</v>
      </c>
      <c r="IV20" s="211" t="s">
        <v>1783</v>
      </c>
    </row>
    <row r="21" spans="2:256" x14ac:dyDescent="0.2">
      <c r="IU21" s="210" t="s">
        <v>275</v>
      </c>
      <c r="IV21" s="211" t="s">
        <v>1784</v>
      </c>
    </row>
    <row r="22" spans="2:256" x14ac:dyDescent="0.2">
      <c r="IU22" s="210" t="s">
        <v>276</v>
      </c>
      <c r="IV22" s="211" t="s">
        <v>1785</v>
      </c>
    </row>
    <row r="23" spans="2:256" x14ac:dyDescent="0.2">
      <c r="IU23" s="210" t="s">
        <v>277</v>
      </c>
      <c r="IV23" s="211" t="s">
        <v>1786</v>
      </c>
    </row>
    <row r="24" spans="2:256" x14ac:dyDescent="0.2">
      <c r="F24" s="9"/>
      <c r="IU24" s="210" t="s">
        <v>278</v>
      </c>
      <c r="IV24" s="211" t="s">
        <v>1787</v>
      </c>
    </row>
    <row r="25" spans="2:256" x14ac:dyDescent="0.2">
      <c r="IU25" s="210" t="s">
        <v>279</v>
      </c>
      <c r="IV25" s="211" t="s">
        <v>1788</v>
      </c>
    </row>
    <row r="26" spans="2:256" x14ac:dyDescent="0.2">
      <c r="IU26" s="210" t="s">
        <v>280</v>
      </c>
      <c r="IV26" s="211" t="s">
        <v>1789</v>
      </c>
    </row>
    <row r="27" spans="2:256" x14ac:dyDescent="0.2">
      <c r="IU27" s="210" t="s">
        <v>1741</v>
      </c>
      <c r="IV27" s="211" t="s">
        <v>1790</v>
      </c>
    </row>
    <row r="28" spans="2:256" x14ac:dyDescent="0.2">
      <c r="IU28" s="210" t="s">
        <v>1742</v>
      </c>
      <c r="IV28" s="211" t="s">
        <v>1791</v>
      </c>
    </row>
    <row r="29" spans="2:256" x14ac:dyDescent="0.2">
      <c r="IU29" s="210" t="s">
        <v>1792</v>
      </c>
      <c r="IV29" s="211" t="s">
        <v>1793</v>
      </c>
    </row>
    <row r="30" spans="2:256" x14ac:dyDescent="0.2">
      <c r="IU30" s="210" t="s">
        <v>11</v>
      </c>
      <c r="IV30" s="211" t="s">
        <v>1794</v>
      </c>
    </row>
    <row r="31" spans="2:256" x14ac:dyDescent="0.2">
      <c r="IU31" s="210" t="s">
        <v>281</v>
      </c>
      <c r="IV31" s="211" t="s">
        <v>1795</v>
      </c>
    </row>
    <row r="32" spans="2:256" x14ac:dyDescent="0.2">
      <c r="IU32" s="210" t="s">
        <v>12</v>
      </c>
      <c r="IV32" s="211" t="s">
        <v>1796</v>
      </c>
    </row>
    <row r="33" spans="255:256" x14ac:dyDescent="0.2">
      <c r="IU33" s="210" t="s">
        <v>282</v>
      </c>
      <c r="IV33" s="211" t="s">
        <v>1797</v>
      </c>
    </row>
    <row r="34" spans="255:256" x14ac:dyDescent="0.2">
      <c r="IU34" s="210" t="s">
        <v>283</v>
      </c>
      <c r="IV34" s="211" t="s">
        <v>1798</v>
      </c>
    </row>
    <row r="35" spans="255:256" x14ac:dyDescent="0.2">
      <c r="IU35" s="210" t="s">
        <v>13</v>
      </c>
      <c r="IV35" s="211" t="s">
        <v>1799</v>
      </c>
    </row>
    <row r="36" spans="255:256" x14ac:dyDescent="0.2">
      <c r="IU36" s="210" t="s">
        <v>14</v>
      </c>
      <c r="IV36" s="211" t="s">
        <v>1800</v>
      </c>
    </row>
    <row r="37" spans="255:256" x14ac:dyDescent="0.2">
      <c r="IU37" s="210" t="s">
        <v>15</v>
      </c>
      <c r="IV37" s="211" t="s">
        <v>1801</v>
      </c>
    </row>
    <row r="38" spans="255:256" x14ac:dyDescent="0.2">
      <c r="IU38" s="210" t="s">
        <v>16</v>
      </c>
      <c r="IV38" s="211" t="s">
        <v>1773</v>
      </c>
    </row>
    <row r="39" spans="255:256" x14ac:dyDescent="0.2">
      <c r="IU39" s="210" t="s">
        <v>7</v>
      </c>
      <c r="IV39" s="211" t="s">
        <v>1802</v>
      </c>
    </row>
    <row r="40" spans="255:256" x14ac:dyDescent="0.2">
      <c r="IU40" s="210" t="s">
        <v>284</v>
      </c>
      <c r="IV40" s="211" t="s">
        <v>1803</v>
      </c>
    </row>
    <row r="41" spans="255:256" x14ac:dyDescent="0.2">
      <c r="IU41" s="210" t="s">
        <v>285</v>
      </c>
      <c r="IV41" s="211" t="s">
        <v>1804</v>
      </c>
    </row>
    <row r="42" spans="255:256" x14ac:dyDescent="0.2">
      <c r="IU42" s="210" t="s">
        <v>286</v>
      </c>
      <c r="IV42" s="211" t="s">
        <v>1805</v>
      </c>
    </row>
    <row r="43" spans="255:256" x14ac:dyDescent="0.2">
      <c r="IU43" s="210" t="s">
        <v>287</v>
      </c>
      <c r="IV43" s="211" t="s">
        <v>1806</v>
      </c>
    </row>
    <row r="44" spans="255:256" x14ac:dyDescent="0.2">
      <c r="IU44" s="210" t="s">
        <v>288</v>
      </c>
      <c r="IV44" s="211" t="s">
        <v>1807</v>
      </c>
    </row>
    <row r="45" spans="255:256" x14ac:dyDescent="0.2">
      <c r="IU45" s="210" t="s">
        <v>289</v>
      </c>
      <c r="IV45" s="211" t="s">
        <v>1808</v>
      </c>
    </row>
    <row r="46" spans="255:256" x14ac:dyDescent="0.2">
      <c r="IU46" s="210" t="s">
        <v>290</v>
      </c>
      <c r="IV46" s="211" t="s">
        <v>1809</v>
      </c>
    </row>
    <row r="47" spans="255:256" x14ac:dyDescent="0.2">
      <c r="IU47" s="210" t="s">
        <v>291</v>
      </c>
      <c r="IV47" s="211" t="s">
        <v>1810</v>
      </c>
    </row>
    <row r="48" spans="255:256" x14ac:dyDescent="0.2">
      <c r="IU48" s="210" t="s">
        <v>292</v>
      </c>
      <c r="IV48" s="211" t="s">
        <v>1811</v>
      </c>
    </row>
    <row r="49" spans="255:256" x14ac:dyDescent="0.2">
      <c r="IU49" s="210" t="s">
        <v>293</v>
      </c>
      <c r="IV49" s="211" t="s">
        <v>1812</v>
      </c>
    </row>
    <row r="50" spans="255:256" x14ac:dyDescent="0.2">
      <c r="IU50" s="210" t="s">
        <v>294</v>
      </c>
      <c r="IV50" s="211" t="s">
        <v>1813</v>
      </c>
    </row>
    <row r="51" spans="255:256" x14ac:dyDescent="0.2">
      <c r="IU51" s="210" t="s">
        <v>295</v>
      </c>
      <c r="IV51" s="211" t="s">
        <v>1814</v>
      </c>
    </row>
    <row r="52" spans="255:256" x14ac:dyDescent="0.2">
      <c r="IU52" s="210" t="s">
        <v>296</v>
      </c>
      <c r="IV52" s="211" t="s">
        <v>1815</v>
      </c>
    </row>
    <row r="53" spans="255:256" x14ac:dyDescent="0.2">
      <c r="IU53" s="210" t="s">
        <v>297</v>
      </c>
      <c r="IV53" s="211" t="s">
        <v>1816</v>
      </c>
    </row>
    <row r="54" spans="255:256" x14ac:dyDescent="0.2">
      <c r="IU54" s="210" t="s">
        <v>298</v>
      </c>
      <c r="IV54" s="211" t="s">
        <v>1817</v>
      </c>
    </row>
    <row r="55" spans="255:256" x14ac:dyDescent="0.2">
      <c r="IU55" s="210" t="s">
        <v>299</v>
      </c>
      <c r="IV55" s="211" t="s">
        <v>1818</v>
      </c>
    </row>
    <row r="56" spans="255:256" x14ac:dyDescent="0.2">
      <c r="IU56" s="210" t="s">
        <v>300</v>
      </c>
      <c r="IV56" s="211" t="s">
        <v>1819</v>
      </c>
    </row>
    <row r="57" spans="255:256" x14ac:dyDescent="0.2">
      <c r="IU57" s="210" t="s">
        <v>301</v>
      </c>
      <c r="IV57" s="211" t="s">
        <v>1820</v>
      </c>
    </row>
    <row r="58" spans="255:256" x14ac:dyDescent="0.2">
      <c r="IU58" s="210" t="s">
        <v>302</v>
      </c>
      <c r="IV58" s="211" t="s">
        <v>1821</v>
      </c>
    </row>
    <row r="59" spans="255:256" x14ac:dyDescent="0.2">
      <c r="IU59" s="210" t="s">
        <v>303</v>
      </c>
      <c r="IV59" s="211" t="s">
        <v>1822</v>
      </c>
    </row>
    <row r="60" spans="255:256" x14ac:dyDescent="0.2">
      <c r="IU60" s="210" t="s">
        <v>304</v>
      </c>
      <c r="IV60" s="211" t="s">
        <v>1823</v>
      </c>
    </row>
    <row r="61" spans="255:256" x14ac:dyDescent="0.2">
      <c r="IU61" s="210" t="s">
        <v>305</v>
      </c>
      <c r="IV61" s="211" t="s">
        <v>1824</v>
      </c>
    </row>
    <row r="62" spans="255:256" x14ac:dyDescent="0.2">
      <c r="IU62" s="210" t="s">
        <v>306</v>
      </c>
      <c r="IV62" s="211" t="s">
        <v>1825</v>
      </c>
    </row>
    <row r="63" spans="255:256" x14ac:dyDescent="0.2">
      <c r="IU63" s="210" t="s">
        <v>307</v>
      </c>
      <c r="IV63" s="211" t="s">
        <v>1826</v>
      </c>
    </row>
    <row r="64" spans="255:256" x14ac:dyDescent="0.2">
      <c r="IU64" s="210" t="s">
        <v>308</v>
      </c>
      <c r="IV64" s="211" t="s">
        <v>1827</v>
      </c>
    </row>
    <row r="65" spans="255:256" x14ac:dyDescent="0.2">
      <c r="IU65" s="210" t="s">
        <v>309</v>
      </c>
      <c r="IV65" s="211" t="s">
        <v>1828</v>
      </c>
    </row>
    <row r="66" spans="255:256" x14ac:dyDescent="0.2">
      <c r="IU66" s="210" t="s">
        <v>310</v>
      </c>
      <c r="IV66" s="211" t="s">
        <v>1829</v>
      </c>
    </row>
    <row r="67" spans="255:256" x14ac:dyDescent="0.2">
      <c r="IU67" s="210" t="s">
        <v>311</v>
      </c>
      <c r="IV67" s="211" t="s">
        <v>1830</v>
      </c>
    </row>
    <row r="68" spans="255:256" x14ac:dyDescent="0.2">
      <c r="IU68" s="210" t="s">
        <v>312</v>
      </c>
      <c r="IV68" s="211" t="s">
        <v>1831</v>
      </c>
    </row>
    <row r="69" spans="255:256" x14ac:dyDescent="0.2">
      <c r="IU69" s="210" t="s">
        <v>313</v>
      </c>
      <c r="IV69" s="211" t="s">
        <v>1832</v>
      </c>
    </row>
    <row r="70" spans="255:256" x14ac:dyDescent="0.2">
      <c r="IU70" s="210" t="s">
        <v>314</v>
      </c>
      <c r="IV70" s="211" t="s">
        <v>1833</v>
      </c>
    </row>
    <row r="71" spans="255:256" x14ac:dyDescent="0.2">
      <c r="IU71" s="210" t="s">
        <v>315</v>
      </c>
      <c r="IV71" s="211" t="s">
        <v>1834</v>
      </c>
    </row>
    <row r="72" spans="255:256" x14ac:dyDescent="0.2">
      <c r="IU72" s="210" t="s">
        <v>316</v>
      </c>
      <c r="IV72" s="211" t="s">
        <v>1835</v>
      </c>
    </row>
    <row r="73" spans="255:256" x14ac:dyDescent="0.2">
      <c r="IU73" s="210" t="s">
        <v>317</v>
      </c>
      <c r="IV73" s="211" t="s">
        <v>1836</v>
      </c>
    </row>
    <row r="74" spans="255:256" x14ac:dyDescent="0.2">
      <c r="IU74" s="210" t="s">
        <v>318</v>
      </c>
      <c r="IV74" s="211" t="s">
        <v>1837</v>
      </c>
    </row>
    <row r="75" spans="255:256" x14ac:dyDescent="0.2">
      <c r="IU75" s="210" t="s">
        <v>319</v>
      </c>
      <c r="IV75" s="211" t="s">
        <v>1838</v>
      </c>
    </row>
    <row r="76" spans="255:256" x14ac:dyDescent="0.2">
      <c r="IU76" s="210" t="s">
        <v>320</v>
      </c>
      <c r="IV76" s="211" t="s">
        <v>1839</v>
      </c>
    </row>
    <row r="77" spans="255:256" x14ac:dyDescent="0.2">
      <c r="IU77" s="210" t="s">
        <v>321</v>
      </c>
      <c r="IV77" s="211" t="s">
        <v>1840</v>
      </c>
    </row>
    <row r="78" spans="255:256" x14ac:dyDescent="0.2">
      <c r="IU78" s="210" t="s">
        <v>322</v>
      </c>
      <c r="IV78" s="211" t="s">
        <v>1841</v>
      </c>
    </row>
    <row r="79" spans="255:256" x14ac:dyDescent="0.2">
      <c r="IU79" s="210" t="s">
        <v>323</v>
      </c>
      <c r="IV79" s="211" t="s">
        <v>1842</v>
      </c>
    </row>
    <row r="80" spans="255:256" x14ac:dyDescent="0.2">
      <c r="IU80" s="210" t="s">
        <v>324</v>
      </c>
      <c r="IV80" s="211" t="s">
        <v>1843</v>
      </c>
    </row>
    <row r="81" spans="255:256" x14ac:dyDescent="0.2">
      <c r="IU81" s="210" t="s">
        <v>325</v>
      </c>
      <c r="IV81" s="211" t="s">
        <v>1844</v>
      </c>
    </row>
    <row r="82" spans="255:256" x14ac:dyDescent="0.2">
      <c r="IU82" s="210" t="s">
        <v>326</v>
      </c>
      <c r="IV82" s="211" t="s">
        <v>1845</v>
      </c>
    </row>
    <row r="83" spans="255:256" x14ac:dyDescent="0.2">
      <c r="IU83" s="210" t="s">
        <v>327</v>
      </c>
      <c r="IV83" s="211" t="s">
        <v>1846</v>
      </c>
    </row>
    <row r="84" spans="255:256" x14ac:dyDescent="0.2">
      <c r="IU84" s="210" t="s">
        <v>328</v>
      </c>
      <c r="IV84" s="211" t="s">
        <v>1847</v>
      </c>
    </row>
    <row r="85" spans="255:256" x14ac:dyDescent="0.2">
      <c r="IU85" s="210" t="s">
        <v>329</v>
      </c>
      <c r="IV85" s="211" t="s">
        <v>1848</v>
      </c>
    </row>
    <row r="86" spans="255:256" x14ac:dyDescent="0.2">
      <c r="IU86" s="210" t="s">
        <v>330</v>
      </c>
      <c r="IV86" s="211" t="s">
        <v>1849</v>
      </c>
    </row>
    <row r="87" spans="255:256" x14ac:dyDescent="0.2">
      <c r="IU87" s="210" t="s">
        <v>331</v>
      </c>
      <c r="IV87" s="211" t="s">
        <v>1850</v>
      </c>
    </row>
    <row r="88" spans="255:256" x14ac:dyDescent="0.2">
      <c r="IU88" s="210" t="s">
        <v>332</v>
      </c>
      <c r="IV88" s="211" t="s">
        <v>1851</v>
      </c>
    </row>
    <row r="89" spans="255:256" x14ac:dyDescent="0.2">
      <c r="IU89" s="210" t="s">
        <v>333</v>
      </c>
      <c r="IV89" s="211" t="s">
        <v>1852</v>
      </c>
    </row>
    <row r="90" spans="255:256" x14ac:dyDescent="0.2">
      <c r="IU90" s="210" t="s">
        <v>334</v>
      </c>
      <c r="IV90" s="211" t="s">
        <v>1853</v>
      </c>
    </row>
    <row r="91" spans="255:256" x14ac:dyDescent="0.2">
      <c r="IU91" s="210" t="s">
        <v>335</v>
      </c>
      <c r="IV91" s="211" t="s">
        <v>1854</v>
      </c>
    </row>
    <row r="92" spans="255:256" x14ac:dyDescent="0.2">
      <c r="IU92" s="210" t="s">
        <v>336</v>
      </c>
      <c r="IV92" s="211" t="s">
        <v>1855</v>
      </c>
    </row>
    <row r="93" spans="255:256" x14ac:dyDescent="0.2">
      <c r="IU93" s="210" t="s">
        <v>337</v>
      </c>
      <c r="IV93" s="211" t="s">
        <v>1856</v>
      </c>
    </row>
    <row r="94" spans="255:256" x14ac:dyDescent="0.2">
      <c r="IU94" s="210" t="s">
        <v>338</v>
      </c>
      <c r="IV94" s="211" t="s">
        <v>1857</v>
      </c>
    </row>
    <row r="95" spans="255:256" x14ac:dyDescent="0.2">
      <c r="IU95" s="210" t="s">
        <v>339</v>
      </c>
      <c r="IV95" s="211" t="s">
        <v>1858</v>
      </c>
    </row>
    <row r="96" spans="255:256" x14ac:dyDescent="0.2">
      <c r="IU96" s="210" t="s">
        <v>340</v>
      </c>
      <c r="IV96" s="211" t="s">
        <v>1859</v>
      </c>
    </row>
    <row r="97" spans="255:256" x14ac:dyDescent="0.2">
      <c r="IU97" s="210" t="s">
        <v>341</v>
      </c>
      <c r="IV97" s="211" t="s">
        <v>1860</v>
      </c>
    </row>
    <row r="98" spans="255:256" x14ac:dyDescent="0.2">
      <c r="IU98" s="210" t="s">
        <v>342</v>
      </c>
      <c r="IV98" s="211" t="s">
        <v>1861</v>
      </c>
    </row>
    <row r="99" spans="255:256" x14ac:dyDescent="0.2">
      <c r="IU99" s="210" t="s">
        <v>343</v>
      </c>
      <c r="IV99" s="211" t="s">
        <v>1862</v>
      </c>
    </row>
    <row r="100" spans="255:256" x14ac:dyDescent="0.2">
      <c r="IU100" s="210" t="s">
        <v>344</v>
      </c>
      <c r="IV100" s="211" t="s">
        <v>1863</v>
      </c>
    </row>
    <row r="101" spans="255:256" x14ac:dyDescent="0.2">
      <c r="IU101" s="210" t="s">
        <v>345</v>
      </c>
      <c r="IV101" s="211" t="s">
        <v>1864</v>
      </c>
    </row>
    <row r="102" spans="255:256" x14ac:dyDescent="0.2">
      <c r="IU102" s="210" t="s">
        <v>346</v>
      </c>
      <c r="IV102" s="211" t="s">
        <v>1865</v>
      </c>
    </row>
    <row r="103" spans="255:256" x14ac:dyDescent="0.2">
      <c r="IU103" s="210" t="s">
        <v>347</v>
      </c>
      <c r="IV103" s="211" t="s">
        <v>1866</v>
      </c>
    </row>
    <row r="104" spans="255:256" x14ac:dyDescent="0.2">
      <c r="IU104" s="210" t="s">
        <v>348</v>
      </c>
      <c r="IV104" s="211" t="s">
        <v>1867</v>
      </c>
    </row>
    <row r="105" spans="255:256" x14ac:dyDescent="0.2">
      <c r="IU105" s="210" t="s">
        <v>349</v>
      </c>
      <c r="IV105" s="211" t="s">
        <v>1868</v>
      </c>
    </row>
    <row r="106" spans="255:256" x14ac:dyDescent="0.2">
      <c r="IU106" s="210" t="s">
        <v>350</v>
      </c>
      <c r="IV106" s="211" t="s">
        <v>1869</v>
      </c>
    </row>
    <row r="107" spans="255:256" x14ac:dyDescent="0.2">
      <c r="IU107" s="210" t="s">
        <v>351</v>
      </c>
      <c r="IV107" s="211" t="s">
        <v>1870</v>
      </c>
    </row>
    <row r="108" spans="255:256" x14ac:dyDescent="0.2">
      <c r="IU108" s="210" t="s">
        <v>352</v>
      </c>
      <c r="IV108" s="211" t="s">
        <v>1871</v>
      </c>
    </row>
    <row r="109" spans="255:256" x14ac:dyDescent="0.2">
      <c r="IU109" s="210" t="s">
        <v>353</v>
      </c>
      <c r="IV109" s="211" t="s">
        <v>1872</v>
      </c>
    </row>
    <row r="110" spans="255:256" x14ac:dyDescent="0.2">
      <c r="IU110" s="210" t="s">
        <v>354</v>
      </c>
      <c r="IV110" s="211" t="s">
        <v>1873</v>
      </c>
    </row>
    <row r="111" spans="255:256" x14ac:dyDescent="0.2">
      <c r="IU111" s="210" t="s">
        <v>355</v>
      </c>
      <c r="IV111" s="211" t="s">
        <v>1874</v>
      </c>
    </row>
    <row r="112" spans="255:256" x14ac:dyDescent="0.2">
      <c r="IU112" s="210" t="s">
        <v>356</v>
      </c>
      <c r="IV112" s="211" t="s">
        <v>1875</v>
      </c>
    </row>
    <row r="113" spans="255:256" x14ac:dyDescent="0.2">
      <c r="IU113" s="210" t="s">
        <v>357</v>
      </c>
      <c r="IV113" s="211" t="s">
        <v>1876</v>
      </c>
    </row>
    <row r="114" spans="255:256" x14ac:dyDescent="0.2">
      <c r="IU114" s="210" t="s">
        <v>358</v>
      </c>
      <c r="IV114" s="211" t="s">
        <v>1877</v>
      </c>
    </row>
    <row r="115" spans="255:256" x14ac:dyDescent="0.2">
      <c r="IU115" s="210" t="s">
        <v>359</v>
      </c>
      <c r="IV115" s="211" t="s">
        <v>1878</v>
      </c>
    </row>
    <row r="116" spans="255:256" x14ac:dyDescent="0.2">
      <c r="IU116" s="210" t="s">
        <v>360</v>
      </c>
      <c r="IV116" s="211" t="s">
        <v>1879</v>
      </c>
    </row>
    <row r="117" spans="255:256" x14ac:dyDescent="0.2">
      <c r="IU117" s="210" t="s">
        <v>361</v>
      </c>
      <c r="IV117" s="211" t="s">
        <v>1880</v>
      </c>
    </row>
    <row r="118" spans="255:256" x14ac:dyDescent="0.2">
      <c r="IU118" s="210" t="s">
        <v>362</v>
      </c>
      <c r="IV118" s="211" t="s">
        <v>1881</v>
      </c>
    </row>
    <row r="119" spans="255:256" x14ac:dyDescent="0.2">
      <c r="IU119" s="210" t="s">
        <v>363</v>
      </c>
      <c r="IV119" s="211" t="s">
        <v>1882</v>
      </c>
    </row>
    <row r="120" spans="255:256" x14ac:dyDescent="0.2">
      <c r="IU120" s="210" t="s">
        <v>364</v>
      </c>
      <c r="IV120" s="211" t="s">
        <v>1883</v>
      </c>
    </row>
    <row r="121" spans="255:256" x14ac:dyDescent="0.2">
      <c r="IU121" s="210" t="s">
        <v>365</v>
      </c>
      <c r="IV121" s="211" t="s">
        <v>1884</v>
      </c>
    </row>
    <row r="122" spans="255:256" x14ac:dyDescent="0.2">
      <c r="IU122" s="210" t="s">
        <v>366</v>
      </c>
      <c r="IV122" s="211" t="s">
        <v>1885</v>
      </c>
    </row>
    <row r="123" spans="255:256" x14ac:dyDescent="0.2">
      <c r="IU123" s="210" t="s">
        <v>367</v>
      </c>
      <c r="IV123" s="211" t="s">
        <v>1886</v>
      </c>
    </row>
    <row r="124" spans="255:256" x14ac:dyDescent="0.2">
      <c r="IU124" s="210" t="s">
        <v>368</v>
      </c>
      <c r="IV124" s="211" t="s">
        <v>1887</v>
      </c>
    </row>
    <row r="125" spans="255:256" x14ac:dyDescent="0.2">
      <c r="IU125" s="210" t="s">
        <v>369</v>
      </c>
      <c r="IV125" s="211" t="s">
        <v>1888</v>
      </c>
    </row>
    <row r="126" spans="255:256" x14ac:dyDescent="0.2">
      <c r="IU126" s="210" t="s">
        <v>370</v>
      </c>
      <c r="IV126" s="211" t="s">
        <v>1889</v>
      </c>
    </row>
    <row r="127" spans="255:256" x14ac:dyDescent="0.2">
      <c r="IU127" s="210" t="s">
        <v>371</v>
      </c>
      <c r="IV127" s="211" t="s">
        <v>1890</v>
      </c>
    </row>
    <row r="128" spans="255:256" x14ac:dyDescent="0.2">
      <c r="IU128" s="210" t="s">
        <v>372</v>
      </c>
      <c r="IV128" s="211" t="s">
        <v>1891</v>
      </c>
    </row>
    <row r="129" spans="255:256" x14ac:dyDescent="0.2">
      <c r="IU129" s="210" t="s">
        <v>373</v>
      </c>
      <c r="IV129" s="211" t="s">
        <v>1892</v>
      </c>
    </row>
    <row r="130" spans="255:256" x14ac:dyDescent="0.2">
      <c r="IU130" s="210" t="s">
        <v>374</v>
      </c>
      <c r="IV130" s="211" t="s">
        <v>1893</v>
      </c>
    </row>
    <row r="131" spans="255:256" x14ac:dyDescent="0.2">
      <c r="IU131" s="210" t="s">
        <v>375</v>
      </c>
      <c r="IV131" s="211" t="s">
        <v>1894</v>
      </c>
    </row>
    <row r="132" spans="255:256" x14ac:dyDescent="0.2">
      <c r="IU132" s="210" t="s">
        <v>376</v>
      </c>
      <c r="IV132" s="211" t="s">
        <v>1895</v>
      </c>
    </row>
    <row r="133" spans="255:256" x14ac:dyDescent="0.2">
      <c r="IU133" s="210" t="s">
        <v>377</v>
      </c>
      <c r="IV133" s="211" t="s">
        <v>1896</v>
      </c>
    </row>
    <row r="134" spans="255:256" x14ac:dyDescent="0.2">
      <c r="IU134" s="210" t="s">
        <v>378</v>
      </c>
      <c r="IV134" s="211" t="s">
        <v>1897</v>
      </c>
    </row>
    <row r="135" spans="255:256" x14ac:dyDescent="0.2">
      <c r="IU135" s="210" t="s">
        <v>379</v>
      </c>
      <c r="IV135" s="211" t="s">
        <v>1898</v>
      </c>
    </row>
    <row r="136" spans="255:256" x14ac:dyDescent="0.2">
      <c r="IU136" s="210" t="s">
        <v>380</v>
      </c>
      <c r="IV136" s="211" t="s">
        <v>1899</v>
      </c>
    </row>
    <row r="137" spans="255:256" x14ac:dyDescent="0.2">
      <c r="IU137" s="210" t="s">
        <v>381</v>
      </c>
      <c r="IV137" s="211" t="s">
        <v>1900</v>
      </c>
    </row>
    <row r="138" spans="255:256" x14ac:dyDescent="0.2">
      <c r="IU138" s="210" t="s">
        <v>382</v>
      </c>
      <c r="IV138" s="211" t="s">
        <v>1901</v>
      </c>
    </row>
    <row r="139" spans="255:256" x14ac:dyDescent="0.2">
      <c r="IU139" s="210" t="s">
        <v>383</v>
      </c>
      <c r="IV139" s="211" t="s">
        <v>1902</v>
      </c>
    </row>
    <row r="140" spans="255:256" x14ac:dyDescent="0.2">
      <c r="IU140" s="210" t="s">
        <v>384</v>
      </c>
      <c r="IV140" s="211" t="s">
        <v>1903</v>
      </c>
    </row>
    <row r="141" spans="255:256" x14ac:dyDescent="0.2">
      <c r="IU141" s="210" t="s">
        <v>385</v>
      </c>
      <c r="IV141" s="211" t="s">
        <v>1904</v>
      </c>
    </row>
    <row r="142" spans="255:256" x14ac:dyDescent="0.2">
      <c r="IU142" s="210" t="s">
        <v>386</v>
      </c>
      <c r="IV142" s="211" t="s">
        <v>1905</v>
      </c>
    </row>
    <row r="143" spans="255:256" x14ac:dyDescent="0.2">
      <c r="IU143" s="210" t="s">
        <v>387</v>
      </c>
      <c r="IV143" s="211" t="s">
        <v>1906</v>
      </c>
    </row>
    <row r="144" spans="255:256" x14ac:dyDescent="0.2">
      <c r="IU144" s="210" t="s">
        <v>388</v>
      </c>
      <c r="IV144" s="211" t="s">
        <v>1907</v>
      </c>
    </row>
    <row r="145" spans="255:256" x14ac:dyDescent="0.2">
      <c r="IU145" s="210" t="s">
        <v>389</v>
      </c>
      <c r="IV145" s="211" t="s">
        <v>1908</v>
      </c>
    </row>
    <row r="146" spans="255:256" x14ac:dyDescent="0.2">
      <c r="IU146" s="210" t="s">
        <v>390</v>
      </c>
      <c r="IV146" s="211" t="s">
        <v>1909</v>
      </c>
    </row>
    <row r="147" spans="255:256" x14ac:dyDescent="0.2">
      <c r="IU147" s="210" t="s">
        <v>391</v>
      </c>
      <c r="IV147" s="211" t="s">
        <v>1910</v>
      </c>
    </row>
    <row r="148" spans="255:256" x14ac:dyDescent="0.2">
      <c r="IU148" s="210" t="s">
        <v>392</v>
      </c>
      <c r="IV148" s="211" t="s">
        <v>1911</v>
      </c>
    </row>
    <row r="149" spans="255:256" x14ac:dyDescent="0.2">
      <c r="IU149" s="210" t="s">
        <v>393</v>
      </c>
      <c r="IV149" s="211" t="s">
        <v>1912</v>
      </c>
    </row>
    <row r="150" spans="255:256" x14ac:dyDescent="0.2">
      <c r="IU150" s="210" t="s">
        <v>394</v>
      </c>
      <c r="IV150" s="211" t="s">
        <v>1913</v>
      </c>
    </row>
    <row r="151" spans="255:256" x14ac:dyDescent="0.2">
      <c r="IU151" s="210" t="s">
        <v>395</v>
      </c>
      <c r="IV151" s="211" t="s">
        <v>1914</v>
      </c>
    </row>
    <row r="152" spans="255:256" x14ac:dyDescent="0.2">
      <c r="IU152" s="210" t="s">
        <v>396</v>
      </c>
      <c r="IV152" s="211" t="s">
        <v>1915</v>
      </c>
    </row>
    <row r="153" spans="255:256" x14ac:dyDescent="0.2">
      <c r="IU153" s="210" t="s">
        <v>397</v>
      </c>
      <c r="IV153" s="211" t="s">
        <v>1916</v>
      </c>
    </row>
    <row r="154" spans="255:256" x14ac:dyDescent="0.2">
      <c r="IU154" s="210" t="s">
        <v>398</v>
      </c>
      <c r="IV154" s="211" t="s">
        <v>1917</v>
      </c>
    </row>
    <row r="155" spans="255:256" x14ac:dyDescent="0.2">
      <c r="IU155" s="210" t="s">
        <v>399</v>
      </c>
      <c r="IV155" s="211" t="s">
        <v>1918</v>
      </c>
    </row>
    <row r="156" spans="255:256" x14ac:dyDescent="0.2">
      <c r="IU156" s="210" t="s">
        <v>400</v>
      </c>
      <c r="IV156" s="211" t="s">
        <v>1919</v>
      </c>
    </row>
    <row r="157" spans="255:256" x14ac:dyDescent="0.2">
      <c r="IU157" s="210" t="s">
        <v>401</v>
      </c>
      <c r="IV157" s="211" t="s">
        <v>1920</v>
      </c>
    </row>
    <row r="158" spans="255:256" x14ac:dyDescent="0.2">
      <c r="IU158" s="210" t="s">
        <v>402</v>
      </c>
      <c r="IV158" s="211" t="s">
        <v>1921</v>
      </c>
    </row>
    <row r="159" spans="255:256" x14ac:dyDescent="0.2">
      <c r="IU159" s="210" t="s">
        <v>403</v>
      </c>
      <c r="IV159" s="211" t="s">
        <v>1922</v>
      </c>
    </row>
    <row r="160" spans="255:256" x14ac:dyDescent="0.2">
      <c r="IU160" s="210" t="s">
        <v>404</v>
      </c>
      <c r="IV160" s="211" t="s">
        <v>1923</v>
      </c>
    </row>
    <row r="161" spans="255:256" x14ac:dyDescent="0.2">
      <c r="IU161" s="210" t="s">
        <v>405</v>
      </c>
      <c r="IV161" s="211" t="s">
        <v>1924</v>
      </c>
    </row>
    <row r="162" spans="255:256" x14ac:dyDescent="0.2">
      <c r="IU162" s="210" t="s">
        <v>406</v>
      </c>
      <c r="IV162" s="211" t="s">
        <v>1925</v>
      </c>
    </row>
    <row r="163" spans="255:256" x14ac:dyDescent="0.2">
      <c r="IU163" s="210" t="s">
        <v>407</v>
      </c>
      <c r="IV163" s="211" t="s">
        <v>1926</v>
      </c>
    </row>
    <row r="164" spans="255:256" x14ac:dyDescent="0.2">
      <c r="IU164" s="210" t="s">
        <v>408</v>
      </c>
      <c r="IV164" s="211" t="s">
        <v>1927</v>
      </c>
    </row>
    <row r="165" spans="255:256" x14ac:dyDescent="0.2">
      <c r="IU165" s="210" t="s">
        <v>409</v>
      </c>
      <c r="IV165" s="211" t="s">
        <v>1928</v>
      </c>
    </row>
    <row r="166" spans="255:256" x14ac:dyDescent="0.2">
      <c r="IU166" s="210" t="s">
        <v>410</v>
      </c>
      <c r="IV166" s="211" t="s">
        <v>1929</v>
      </c>
    </row>
    <row r="167" spans="255:256" x14ac:dyDescent="0.2">
      <c r="IU167" s="210" t="s">
        <v>411</v>
      </c>
      <c r="IV167" s="211" t="s">
        <v>1930</v>
      </c>
    </row>
    <row r="168" spans="255:256" x14ac:dyDescent="0.2">
      <c r="IU168" s="210" t="s">
        <v>412</v>
      </c>
      <c r="IV168" s="211" t="s">
        <v>1931</v>
      </c>
    </row>
    <row r="169" spans="255:256" x14ac:dyDescent="0.2">
      <c r="IU169" s="210" t="s">
        <v>413</v>
      </c>
      <c r="IV169" s="211" t="s">
        <v>1932</v>
      </c>
    </row>
    <row r="170" spans="255:256" x14ac:dyDescent="0.2">
      <c r="IU170" s="210" t="s">
        <v>414</v>
      </c>
      <c r="IV170" s="211" t="s">
        <v>1933</v>
      </c>
    </row>
    <row r="171" spans="255:256" x14ac:dyDescent="0.2">
      <c r="IU171" s="210" t="s">
        <v>415</v>
      </c>
      <c r="IV171" s="211" t="s">
        <v>1934</v>
      </c>
    </row>
    <row r="172" spans="255:256" x14ac:dyDescent="0.2">
      <c r="IU172" s="210" t="s">
        <v>416</v>
      </c>
      <c r="IV172" s="211" t="s">
        <v>1935</v>
      </c>
    </row>
    <row r="173" spans="255:256" x14ac:dyDescent="0.2">
      <c r="IU173" s="210" t="s">
        <v>417</v>
      </c>
      <c r="IV173" s="211" t="s">
        <v>1936</v>
      </c>
    </row>
    <row r="174" spans="255:256" x14ac:dyDescent="0.2">
      <c r="IU174" s="210" t="s">
        <v>418</v>
      </c>
      <c r="IV174" s="211" t="s">
        <v>1937</v>
      </c>
    </row>
    <row r="175" spans="255:256" x14ac:dyDescent="0.2">
      <c r="IU175" s="210" t="s">
        <v>419</v>
      </c>
      <c r="IV175" s="211" t="s">
        <v>1938</v>
      </c>
    </row>
    <row r="176" spans="255:256" x14ac:dyDescent="0.2">
      <c r="IU176" s="210" t="s">
        <v>420</v>
      </c>
      <c r="IV176" s="211" t="s">
        <v>1939</v>
      </c>
    </row>
    <row r="177" spans="255:256" x14ac:dyDescent="0.2">
      <c r="IU177" s="210" t="s">
        <v>421</v>
      </c>
      <c r="IV177" s="211" t="s">
        <v>1940</v>
      </c>
    </row>
    <row r="178" spans="255:256" x14ac:dyDescent="0.2">
      <c r="IU178" s="210" t="s">
        <v>422</v>
      </c>
      <c r="IV178" s="211" t="s">
        <v>1941</v>
      </c>
    </row>
    <row r="179" spans="255:256" x14ac:dyDescent="0.2">
      <c r="IU179" s="210" t="s">
        <v>423</v>
      </c>
      <c r="IV179" s="211" t="s">
        <v>1942</v>
      </c>
    </row>
    <row r="180" spans="255:256" x14ac:dyDescent="0.2">
      <c r="IU180" s="210" t="s">
        <v>424</v>
      </c>
      <c r="IV180" s="211" t="s">
        <v>1943</v>
      </c>
    </row>
    <row r="181" spans="255:256" x14ac:dyDescent="0.2">
      <c r="IU181" s="210" t="s">
        <v>425</v>
      </c>
      <c r="IV181" s="211" t="s">
        <v>1944</v>
      </c>
    </row>
    <row r="182" spans="255:256" x14ac:dyDescent="0.2">
      <c r="IU182" s="210" t="s">
        <v>426</v>
      </c>
      <c r="IV182" s="211" t="s">
        <v>1945</v>
      </c>
    </row>
    <row r="183" spans="255:256" x14ac:dyDescent="0.2">
      <c r="IU183" s="210" t="s">
        <v>427</v>
      </c>
      <c r="IV183" s="211" t="s">
        <v>1946</v>
      </c>
    </row>
    <row r="184" spans="255:256" x14ac:dyDescent="0.2">
      <c r="IU184" s="210" t="s">
        <v>428</v>
      </c>
      <c r="IV184" s="211" t="s">
        <v>1947</v>
      </c>
    </row>
    <row r="185" spans="255:256" x14ac:dyDescent="0.2">
      <c r="IU185" s="210" t="s">
        <v>429</v>
      </c>
      <c r="IV185" s="211" t="s">
        <v>1948</v>
      </c>
    </row>
    <row r="186" spans="255:256" x14ac:dyDescent="0.2">
      <c r="IU186" s="210" t="s">
        <v>430</v>
      </c>
      <c r="IV186" s="211" t="s">
        <v>1949</v>
      </c>
    </row>
    <row r="187" spans="255:256" x14ac:dyDescent="0.2">
      <c r="IU187" s="210" t="s">
        <v>431</v>
      </c>
      <c r="IV187" s="211" t="s">
        <v>1950</v>
      </c>
    </row>
    <row r="188" spans="255:256" x14ac:dyDescent="0.2">
      <c r="IU188" s="210" t="s">
        <v>432</v>
      </c>
      <c r="IV188" s="211" t="s">
        <v>1951</v>
      </c>
    </row>
    <row r="189" spans="255:256" x14ac:dyDescent="0.2">
      <c r="IU189" s="210" t="s">
        <v>433</v>
      </c>
      <c r="IV189" s="211" t="s">
        <v>1952</v>
      </c>
    </row>
    <row r="190" spans="255:256" x14ac:dyDescent="0.2">
      <c r="IU190" s="210" t="s">
        <v>434</v>
      </c>
      <c r="IV190" s="211" t="s">
        <v>1953</v>
      </c>
    </row>
    <row r="191" spans="255:256" x14ac:dyDescent="0.2">
      <c r="IU191" s="210" t="s">
        <v>435</v>
      </c>
      <c r="IV191" s="211" t="s">
        <v>1954</v>
      </c>
    </row>
    <row r="192" spans="255:256" x14ac:dyDescent="0.2">
      <c r="IU192" s="210" t="s">
        <v>436</v>
      </c>
      <c r="IV192" s="211" t="s">
        <v>1955</v>
      </c>
    </row>
    <row r="193" spans="255:256" x14ac:dyDescent="0.2">
      <c r="IU193" s="210" t="s">
        <v>437</v>
      </c>
      <c r="IV193" s="211" t="s">
        <v>1956</v>
      </c>
    </row>
    <row r="194" spans="255:256" x14ac:dyDescent="0.2">
      <c r="IU194" s="210" t="s">
        <v>438</v>
      </c>
      <c r="IV194" s="211" t="s">
        <v>1957</v>
      </c>
    </row>
    <row r="195" spans="255:256" x14ac:dyDescent="0.2">
      <c r="IU195" s="210" t="s">
        <v>439</v>
      </c>
      <c r="IV195" s="211" t="s">
        <v>1958</v>
      </c>
    </row>
    <row r="196" spans="255:256" x14ac:dyDescent="0.2">
      <c r="IU196" s="210" t="s">
        <v>440</v>
      </c>
      <c r="IV196" s="211" t="s">
        <v>1959</v>
      </c>
    </row>
    <row r="197" spans="255:256" x14ac:dyDescent="0.2">
      <c r="IU197" s="210" t="s">
        <v>441</v>
      </c>
      <c r="IV197" s="211" t="s">
        <v>1960</v>
      </c>
    </row>
    <row r="198" spans="255:256" x14ac:dyDescent="0.2">
      <c r="IU198" s="210" t="s">
        <v>442</v>
      </c>
      <c r="IV198" s="211" t="s">
        <v>1961</v>
      </c>
    </row>
    <row r="199" spans="255:256" x14ac:dyDescent="0.2">
      <c r="IU199" s="210" t="s">
        <v>443</v>
      </c>
      <c r="IV199" s="211" t="s">
        <v>1962</v>
      </c>
    </row>
    <row r="200" spans="255:256" x14ac:dyDescent="0.2">
      <c r="IU200" s="210" t="s">
        <v>444</v>
      </c>
      <c r="IV200" s="211" t="s">
        <v>1963</v>
      </c>
    </row>
    <row r="201" spans="255:256" x14ac:dyDescent="0.2">
      <c r="IU201" s="210" t="s">
        <v>445</v>
      </c>
      <c r="IV201" s="211" t="s">
        <v>1964</v>
      </c>
    </row>
    <row r="202" spans="255:256" x14ac:dyDescent="0.2">
      <c r="IU202" s="210" t="s">
        <v>446</v>
      </c>
      <c r="IV202" s="211" t="s">
        <v>1965</v>
      </c>
    </row>
    <row r="203" spans="255:256" x14ac:dyDescent="0.2">
      <c r="IU203" s="210" t="s">
        <v>447</v>
      </c>
      <c r="IV203" s="211" t="s">
        <v>1966</v>
      </c>
    </row>
    <row r="204" spans="255:256" x14ac:dyDescent="0.2">
      <c r="IU204" s="210" t="s">
        <v>448</v>
      </c>
      <c r="IV204" s="211" t="s">
        <v>1967</v>
      </c>
    </row>
    <row r="205" spans="255:256" x14ac:dyDescent="0.2">
      <c r="IU205" s="210" t="s">
        <v>449</v>
      </c>
      <c r="IV205" s="211" t="s">
        <v>1968</v>
      </c>
    </row>
    <row r="206" spans="255:256" x14ac:dyDescent="0.2">
      <c r="IU206" s="210" t="s">
        <v>450</v>
      </c>
      <c r="IV206" s="211" t="s">
        <v>1969</v>
      </c>
    </row>
    <row r="207" spans="255:256" x14ac:dyDescent="0.2">
      <c r="IU207" s="210" t="s">
        <v>451</v>
      </c>
      <c r="IV207" s="211" t="s">
        <v>1970</v>
      </c>
    </row>
    <row r="208" spans="255:256" x14ac:dyDescent="0.2">
      <c r="IU208" s="210" t="s">
        <v>452</v>
      </c>
      <c r="IV208" s="211" t="s">
        <v>1971</v>
      </c>
    </row>
    <row r="209" spans="255:256" x14ac:dyDescent="0.2">
      <c r="IU209" s="210" t="s">
        <v>453</v>
      </c>
      <c r="IV209" s="211" t="s">
        <v>1972</v>
      </c>
    </row>
    <row r="210" spans="255:256" x14ac:dyDescent="0.2">
      <c r="IU210" s="210" t="s">
        <v>454</v>
      </c>
      <c r="IV210" s="211" t="s">
        <v>1973</v>
      </c>
    </row>
    <row r="211" spans="255:256" x14ac:dyDescent="0.2">
      <c r="IU211" s="210" t="s">
        <v>455</v>
      </c>
      <c r="IV211" s="211" t="s">
        <v>1974</v>
      </c>
    </row>
    <row r="212" spans="255:256" x14ac:dyDescent="0.2">
      <c r="IU212" s="210" t="s">
        <v>456</v>
      </c>
      <c r="IV212" s="211" t="s">
        <v>1975</v>
      </c>
    </row>
    <row r="213" spans="255:256" x14ac:dyDescent="0.2">
      <c r="IU213" s="210" t="s">
        <v>457</v>
      </c>
      <c r="IV213" s="211" t="s">
        <v>1976</v>
      </c>
    </row>
    <row r="214" spans="255:256" x14ac:dyDescent="0.2">
      <c r="IU214" s="210" t="s">
        <v>458</v>
      </c>
      <c r="IV214" s="211" t="s">
        <v>1977</v>
      </c>
    </row>
    <row r="215" spans="255:256" x14ac:dyDescent="0.2">
      <c r="IU215" s="210" t="s">
        <v>459</v>
      </c>
      <c r="IV215" s="211" t="s">
        <v>1963</v>
      </c>
    </row>
    <row r="216" spans="255:256" x14ac:dyDescent="0.2">
      <c r="IU216" s="210" t="s">
        <v>460</v>
      </c>
      <c r="IV216" s="211" t="s">
        <v>1978</v>
      </c>
    </row>
    <row r="217" spans="255:256" x14ac:dyDescent="0.2">
      <c r="IU217" s="210" t="s">
        <v>461</v>
      </c>
      <c r="IV217" s="211" t="s">
        <v>1979</v>
      </c>
    </row>
    <row r="218" spans="255:256" x14ac:dyDescent="0.2">
      <c r="IU218" s="210" t="s">
        <v>462</v>
      </c>
      <c r="IV218" s="211" t="s">
        <v>1980</v>
      </c>
    </row>
    <row r="219" spans="255:256" x14ac:dyDescent="0.2">
      <c r="IU219" s="210" t="s">
        <v>463</v>
      </c>
      <c r="IV219" s="211" t="s">
        <v>1981</v>
      </c>
    </row>
    <row r="220" spans="255:256" x14ac:dyDescent="0.2">
      <c r="IU220" s="210" t="s">
        <v>464</v>
      </c>
      <c r="IV220" s="211" t="s">
        <v>1982</v>
      </c>
    </row>
    <row r="221" spans="255:256" x14ac:dyDescent="0.2">
      <c r="IU221" s="210" t="s">
        <v>465</v>
      </c>
      <c r="IV221" s="211" t="s">
        <v>1983</v>
      </c>
    </row>
    <row r="222" spans="255:256" x14ac:dyDescent="0.2">
      <c r="IU222" s="210" t="s">
        <v>466</v>
      </c>
      <c r="IV222" s="211" t="s">
        <v>1984</v>
      </c>
    </row>
    <row r="223" spans="255:256" x14ac:dyDescent="0.2">
      <c r="IU223" s="210" t="s">
        <v>467</v>
      </c>
      <c r="IV223" s="211" t="s">
        <v>1985</v>
      </c>
    </row>
    <row r="224" spans="255:256" x14ac:dyDescent="0.2">
      <c r="IU224" s="210" t="s">
        <v>468</v>
      </c>
      <c r="IV224" s="211" t="s">
        <v>1986</v>
      </c>
    </row>
    <row r="225" spans="255:256" x14ac:dyDescent="0.2">
      <c r="IU225" s="210" t="s">
        <v>469</v>
      </c>
      <c r="IV225" s="211" t="s">
        <v>1987</v>
      </c>
    </row>
    <row r="226" spans="255:256" x14ac:dyDescent="0.2">
      <c r="IU226" s="210" t="s">
        <v>470</v>
      </c>
      <c r="IV226" s="211" t="s">
        <v>1988</v>
      </c>
    </row>
    <row r="227" spans="255:256" x14ac:dyDescent="0.2">
      <c r="IU227" s="210" t="s">
        <v>471</v>
      </c>
      <c r="IV227" s="211" t="s">
        <v>1989</v>
      </c>
    </row>
    <row r="228" spans="255:256" x14ac:dyDescent="0.2">
      <c r="IU228" s="210" t="s">
        <v>472</v>
      </c>
      <c r="IV228" s="211" t="s">
        <v>1990</v>
      </c>
    </row>
    <row r="229" spans="255:256" x14ac:dyDescent="0.2">
      <c r="IU229" s="210" t="s">
        <v>473</v>
      </c>
      <c r="IV229" s="211" t="s">
        <v>1991</v>
      </c>
    </row>
    <row r="230" spans="255:256" x14ac:dyDescent="0.2">
      <c r="IU230" s="210" t="s">
        <v>474</v>
      </c>
      <c r="IV230" s="211" t="s">
        <v>1992</v>
      </c>
    </row>
    <row r="231" spans="255:256" x14ac:dyDescent="0.2">
      <c r="IU231" s="210" t="s">
        <v>475</v>
      </c>
      <c r="IV231" s="211" t="s">
        <v>1993</v>
      </c>
    </row>
    <row r="232" spans="255:256" x14ac:dyDescent="0.2">
      <c r="IU232" s="210" t="s">
        <v>476</v>
      </c>
      <c r="IV232" s="211" t="s">
        <v>1994</v>
      </c>
    </row>
    <row r="233" spans="255:256" x14ac:dyDescent="0.2">
      <c r="IU233" s="210" t="s">
        <v>477</v>
      </c>
      <c r="IV233" s="211" t="s">
        <v>1995</v>
      </c>
    </row>
    <row r="234" spans="255:256" x14ac:dyDescent="0.2">
      <c r="IU234" s="210" t="s">
        <v>478</v>
      </c>
      <c r="IV234" s="211" t="s">
        <v>1996</v>
      </c>
    </row>
    <row r="235" spans="255:256" x14ac:dyDescent="0.2">
      <c r="IU235" s="210" t="s">
        <v>479</v>
      </c>
      <c r="IV235" s="211" t="s">
        <v>1997</v>
      </c>
    </row>
    <row r="236" spans="255:256" x14ac:dyDescent="0.2">
      <c r="IU236" s="210" t="s">
        <v>480</v>
      </c>
      <c r="IV236" s="211" t="s">
        <v>1998</v>
      </c>
    </row>
    <row r="237" spans="255:256" x14ac:dyDescent="0.2">
      <c r="IU237" s="210" t="s">
        <v>481</v>
      </c>
      <c r="IV237" s="211" t="s">
        <v>1999</v>
      </c>
    </row>
    <row r="238" spans="255:256" x14ac:dyDescent="0.2">
      <c r="IU238" s="210" t="s">
        <v>482</v>
      </c>
      <c r="IV238" s="211" t="s">
        <v>2000</v>
      </c>
    </row>
    <row r="239" spans="255:256" x14ac:dyDescent="0.2">
      <c r="IU239" s="210" t="s">
        <v>483</v>
      </c>
      <c r="IV239" s="211" t="s">
        <v>2001</v>
      </c>
    </row>
    <row r="240" spans="255:256" x14ac:dyDescent="0.2">
      <c r="IU240" s="210" t="s">
        <v>484</v>
      </c>
      <c r="IV240" s="211" t="s">
        <v>2002</v>
      </c>
    </row>
    <row r="241" spans="255:256" x14ac:dyDescent="0.2">
      <c r="IU241" s="210" t="s">
        <v>485</v>
      </c>
      <c r="IV241" s="211" t="s">
        <v>2003</v>
      </c>
    </row>
    <row r="242" spans="255:256" x14ac:dyDescent="0.2">
      <c r="IU242" s="210" t="s">
        <v>486</v>
      </c>
      <c r="IV242" s="211" t="s">
        <v>2004</v>
      </c>
    </row>
    <row r="243" spans="255:256" x14ac:dyDescent="0.2">
      <c r="IU243" s="210" t="s">
        <v>487</v>
      </c>
      <c r="IV243" s="211" t="s">
        <v>2005</v>
      </c>
    </row>
    <row r="244" spans="255:256" x14ac:dyDescent="0.2">
      <c r="IU244" s="210" t="s">
        <v>488</v>
      </c>
      <c r="IV244" s="211" t="s">
        <v>2006</v>
      </c>
    </row>
    <row r="245" spans="255:256" x14ac:dyDescent="0.2">
      <c r="IU245" s="210" t="s">
        <v>489</v>
      </c>
      <c r="IV245" s="211" t="s">
        <v>2007</v>
      </c>
    </row>
    <row r="246" spans="255:256" x14ac:dyDescent="0.2">
      <c r="IU246" s="210" t="s">
        <v>490</v>
      </c>
      <c r="IV246" s="211" t="s">
        <v>2008</v>
      </c>
    </row>
    <row r="247" spans="255:256" x14ac:dyDescent="0.2">
      <c r="IU247" s="210" t="s">
        <v>491</v>
      </c>
      <c r="IV247" s="211" t="s">
        <v>2009</v>
      </c>
    </row>
    <row r="248" spans="255:256" x14ac:dyDescent="0.2">
      <c r="IU248" s="210" t="s">
        <v>492</v>
      </c>
      <c r="IV248" s="211" t="s">
        <v>2010</v>
      </c>
    </row>
    <row r="249" spans="255:256" x14ac:dyDescent="0.2">
      <c r="IU249" s="210" t="s">
        <v>493</v>
      </c>
      <c r="IV249" s="211" t="s">
        <v>2011</v>
      </c>
    </row>
    <row r="250" spans="255:256" x14ac:dyDescent="0.2">
      <c r="IU250" s="210" t="s">
        <v>494</v>
      </c>
      <c r="IV250" s="211" t="s">
        <v>2012</v>
      </c>
    </row>
    <row r="251" spans="255:256" x14ac:dyDescent="0.2">
      <c r="IU251" s="210" t="s">
        <v>495</v>
      </c>
      <c r="IV251" s="211" t="s">
        <v>2013</v>
      </c>
    </row>
    <row r="252" spans="255:256" x14ac:dyDescent="0.2">
      <c r="IU252" s="210" t="s">
        <v>496</v>
      </c>
      <c r="IV252" s="211" t="s">
        <v>2014</v>
      </c>
    </row>
    <row r="253" spans="255:256" x14ac:dyDescent="0.2">
      <c r="IU253" s="210" t="s">
        <v>497</v>
      </c>
      <c r="IV253" s="211" t="s">
        <v>2015</v>
      </c>
    </row>
    <row r="254" spans="255:256" x14ac:dyDescent="0.2">
      <c r="IU254" s="210" t="s">
        <v>498</v>
      </c>
      <c r="IV254" s="211" t="s">
        <v>2016</v>
      </c>
    </row>
    <row r="255" spans="255:256" x14ac:dyDescent="0.2">
      <c r="IU255" s="210" t="s">
        <v>499</v>
      </c>
      <c r="IV255" s="211" t="s">
        <v>2017</v>
      </c>
    </row>
    <row r="256" spans="255:256" x14ac:dyDescent="0.2">
      <c r="IU256" s="210" t="s">
        <v>500</v>
      </c>
      <c r="IV256" s="211" t="s">
        <v>2018</v>
      </c>
    </row>
    <row r="257" spans="255:256" x14ac:dyDescent="0.2">
      <c r="IU257" s="210" t="s">
        <v>501</v>
      </c>
      <c r="IV257" s="211" t="s">
        <v>2019</v>
      </c>
    </row>
    <row r="258" spans="255:256" x14ac:dyDescent="0.2">
      <c r="IU258" s="210" t="s">
        <v>502</v>
      </c>
      <c r="IV258" s="211" t="s">
        <v>2020</v>
      </c>
    </row>
    <row r="259" spans="255:256" x14ac:dyDescent="0.2">
      <c r="IU259" s="210" t="s">
        <v>503</v>
      </c>
      <c r="IV259" s="211" t="s">
        <v>2021</v>
      </c>
    </row>
    <row r="260" spans="255:256" x14ac:dyDescent="0.2">
      <c r="IU260" s="210" t="s">
        <v>504</v>
      </c>
      <c r="IV260" s="211" t="s">
        <v>2022</v>
      </c>
    </row>
    <row r="261" spans="255:256" x14ac:dyDescent="0.2">
      <c r="IU261" s="210" t="s">
        <v>505</v>
      </c>
      <c r="IV261" s="211" t="s">
        <v>2023</v>
      </c>
    </row>
    <row r="262" spans="255:256" x14ac:dyDescent="0.2">
      <c r="IU262" s="210" t="s">
        <v>506</v>
      </c>
      <c r="IV262" s="211" t="s">
        <v>2024</v>
      </c>
    </row>
    <row r="263" spans="255:256" x14ac:dyDescent="0.2">
      <c r="IU263" s="210" t="s">
        <v>507</v>
      </c>
      <c r="IV263" s="211" t="s">
        <v>2025</v>
      </c>
    </row>
    <row r="264" spans="255:256" x14ac:dyDescent="0.2">
      <c r="IU264" s="210" t="s">
        <v>508</v>
      </c>
      <c r="IV264" s="211" t="s">
        <v>2026</v>
      </c>
    </row>
    <row r="265" spans="255:256" x14ac:dyDescent="0.2">
      <c r="IU265" s="210" t="s">
        <v>509</v>
      </c>
      <c r="IV265" s="211" t="s">
        <v>2027</v>
      </c>
    </row>
    <row r="266" spans="255:256" x14ac:dyDescent="0.2">
      <c r="IU266" s="210" t="s">
        <v>510</v>
      </c>
      <c r="IV266" s="211" t="s">
        <v>2028</v>
      </c>
    </row>
    <row r="267" spans="255:256" x14ac:dyDescent="0.2">
      <c r="IU267" s="210" t="s">
        <v>511</v>
      </c>
      <c r="IV267" s="211" t="s">
        <v>1992</v>
      </c>
    </row>
    <row r="268" spans="255:256" x14ac:dyDescent="0.2">
      <c r="IU268" s="210" t="s">
        <v>512</v>
      </c>
      <c r="IV268" s="211" t="s">
        <v>2029</v>
      </c>
    </row>
    <row r="269" spans="255:256" x14ac:dyDescent="0.2">
      <c r="IU269" s="210" t="s">
        <v>513</v>
      </c>
      <c r="IV269" s="211" t="s">
        <v>2030</v>
      </c>
    </row>
    <row r="270" spans="255:256" x14ac:dyDescent="0.2">
      <c r="IU270" s="210" t="s">
        <v>514</v>
      </c>
      <c r="IV270" s="211" t="s">
        <v>2031</v>
      </c>
    </row>
    <row r="271" spans="255:256" x14ac:dyDescent="0.2">
      <c r="IU271" s="210" t="s">
        <v>515</v>
      </c>
      <c r="IV271" s="211" t="s">
        <v>2032</v>
      </c>
    </row>
    <row r="272" spans="255:256" x14ac:dyDescent="0.2">
      <c r="IU272" s="210" t="s">
        <v>17</v>
      </c>
      <c r="IV272" s="211" t="s">
        <v>2033</v>
      </c>
    </row>
    <row r="273" spans="255:256" x14ac:dyDescent="0.2">
      <c r="IU273" s="210" t="s">
        <v>516</v>
      </c>
      <c r="IV273" s="211" t="s">
        <v>2034</v>
      </c>
    </row>
    <row r="274" spans="255:256" x14ac:dyDescent="0.2">
      <c r="IU274" s="210" t="s">
        <v>523</v>
      </c>
      <c r="IV274" s="211" t="s">
        <v>2035</v>
      </c>
    </row>
    <row r="275" spans="255:256" x14ac:dyDescent="0.2">
      <c r="IU275" s="210" t="s">
        <v>524</v>
      </c>
      <c r="IV275" s="211" t="s">
        <v>2036</v>
      </c>
    </row>
    <row r="276" spans="255:256" x14ac:dyDescent="0.2">
      <c r="IU276" s="210" t="s">
        <v>525</v>
      </c>
      <c r="IV276" s="211" t="s">
        <v>2037</v>
      </c>
    </row>
    <row r="277" spans="255:256" x14ac:dyDescent="0.2">
      <c r="IU277" s="210" t="s">
        <v>526</v>
      </c>
      <c r="IV277" s="211" t="s">
        <v>2038</v>
      </c>
    </row>
    <row r="278" spans="255:256" x14ac:dyDescent="0.2">
      <c r="IU278" s="210" t="s">
        <v>527</v>
      </c>
      <c r="IV278" s="211" t="s">
        <v>2039</v>
      </c>
    </row>
    <row r="279" spans="255:256" x14ac:dyDescent="0.2">
      <c r="IU279" s="210" t="s">
        <v>528</v>
      </c>
      <c r="IV279" s="211" t="s">
        <v>2040</v>
      </c>
    </row>
    <row r="280" spans="255:256" x14ac:dyDescent="0.2">
      <c r="IU280" s="210" t="s">
        <v>529</v>
      </c>
      <c r="IV280" s="211" t="s">
        <v>2041</v>
      </c>
    </row>
    <row r="281" spans="255:256" x14ac:dyDescent="0.2">
      <c r="IU281" s="210" t="s">
        <v>530</v>
      </c>
      <c r="IV281" s="211" t="s">
        <v>2042</v>
      </c>
    </row>
    <row r="282" spans="255:256" x14ac:dyDescent="0.2">
      <c r="IU282" s="210" t="s">
        <v>531</v>
      </c>
      <c r="IV282" s="211" t="s">
        <v>2043</v>
      </c>
    </row>
    <row r="283" spans="255:256" x14ac:dyDescent="0.2">
      <c r="IU283" s="210" t="s">
        <v>532</v>
      </c>
      <c r="IV283" s="211" t="s">
        <v>2044</v>
      </c>
    </row>
    <row r="284" spans="255:256" x14ac:dyDescent="0.2">
      <c r="IU284" s="210" t="s">
        <v>533</v>
      </c>
      <c r="IV284" s="211" t="s">
        <v>2045</v>
      </c>
    </row>
    <row r="285" spans="255:256" x14ac:dyDescent="0.2">
      <c r="IU285" s="210" t="s">
        <v>534</v>
      </c>
      <c r="IV285" s="211" t="s">
        <v>2046</v>
      </c>
    </row>
    <row r="286" spans="255:256" x14ac:dyDescent="0.2">
      <c r="IU286" s="210" t="s">
        <v>535</v>
      </c>
      <c r="IV286" s="211" t="s">
        <v>2047</v>
      </c>
    </row>
    <row r="287" spans="255:256" x14ac:dyDescent="0.2">
      <c r="IU287" s="210" t="s">
        <v>536</v>
      </c>
      <c r="IV287" s="211" t="s">
        <v>2048</v>
      </c>
    </row>
    <row r="288" spans="255:256" x14ac:dyDescent="0.2">
      <c r="IU288" s="210" t="s">
        <v>537</v>
      </c>
      <c r="IV288" s="211" t="s">
        <v>2049</v>
      </c>
    </row>
    <row r="289" spans="255:256" x14ac:dyDescent="0.2">
      <c r="IU289" s="210" t="s">
        <v>538</v>
      </c>
      <c r="IV289" s="211" t="s">
        <v>2050</v>
      </c>
    </row>
    <row r="290" spans="255:256" x14ac:dyDescent="0.2">
      <c r="IU290" s="210" t="s">
        <v>539</v>
      </c>
      <c r="IV290" s="211" t="s">
        <v>2051</v>
      </c>
    </row>
    <row r="291" spans="255:256" x14ac:dyDescent="0.2">
      <c r="IU291" s="210" t="s">
        <v>540</v>
      </c>
      <c r="IV291" s="211" t="s">
        <v>2052</v>
      </c>
    </row>
    <row r="292" spans="255:256" x14ac:dyDescent="0.2">
      <c r="IU292" s="210" t="s">
        <v>541</v>
      </c>
      <c r="IV292" s="211" t="s">
        <v>2053</v>
      </c>
    </row>
    <row r="293" spans="255:256" x14ac:dyDescent="0.2">
      <c r="IU293" s="210" t="s">
        <v>542</v>
      </c>
      <c r="IV293" s="211" t="s">
        <v>2054</v>
      </c>
    </row>
    <row r="294" spans="255:256" x14ac:dyDescent="0.2">
      <c r="IU294" s="210" t="s">
        <v>543</v>
      </c>
      <c r="IV294" s="211" t="s">
        <v>2055</v>
      </c>
    </row>
    <row r="295" spans="255:256" x14ac:dyDescent="0.2">
      <c r="IU295" s="210" t="s">
        <v>544</v>
      </c>
      <c r="IV295" s="211" t="s">
        <v>2056</v>
      </c>
    </row>
    <row r="296" spans="255:256" x14ac:dyDescent="0.2">
      <c r="IU296" s="210" t="s">
        <v>545</v>
      </c>
      <c r="IV296" s="211" t="s">
        <v>1839</v>
      </c>
    </row>
    <row r="297" spans="255:256" x14ac:dyDescent="0.2">
      <c r="IU297" s="210" t="s">
        <v>546</v>
      </c>
      <c r="IV297" s="211" t="s">
        <v>2057</v>
      </c>
    </row>
    <row r="298" spans="255:256" x14ac:dyDescent="0.2">
      <c r="IU298" s="210" t="s">
        <v>547</v>
      </c>
      <c r="IV298" s="211" t="s">
        <v>2058</v>
      </c>
    </row>
    <row r="299" spans="255:256" x14ac:dyDescent="0.2">
      <c r="IU299" s="210" t="s">
        <v>548</v>
      </c>
      <c r="IV299" s="211" t="s">
        <v>2059</v>
      </c>
    </row>
    <row r="300" spans="255:256" x14ac:dyDescent="0.2">
      <c r="IU300" s="210" t="s">
        <v>549</v>
      </c>
      <c r="IV300" s="211" t="s">
        <v>2060</v>
      </c>
    </row>
    <row r="301" spans="255:256" x14ac:dyDescent="0.2">
      <c r="IU301" s="210" t="s">
        <v>550</v>
      </c>
      <c r="IV301" s="211" t="s">
        <v>2061</v>
      </c>
    </row>
    <row r="302" spans="255:256" x14ac:dyDescent="0.2">
      <c r="IU302" s="210" t="s">
        <v>551</v>
      </c>
      <c r="IV302" s="211" t="s">
        <v>1964</v>
      </c>
    </row>
    <row r="303" spans="255:256" x14ac:dyDescent="0.2">
      <c r="IU303" s="210" t="s">
        <v>552</v>
      </c>
      <c r="IV303" s="211" t="s">
        <v>2062</v>
      </c>
    </row>
    <row r="304" spans="255:256" x14ac:dyDescent="0.2">
      <c r="IU304" s="210" t="s">
        <v>553</v>
      </c>
      <c r="IV304" s="211" t="s">
        <v>2063</v>
      </c>
    </row>
    <row r="305" spans="255:256" x14ac:dyDescent="0.2">
      <c r="IU305" s="210" t="s">
        <v>554</v>
      </c>
      <c r="IV305" s="211" t="s">
        <v>2064</v>
      </c>
    </row>
    <row r="306" spans="255:256" x14ac:dyDescent="0.2">
      <c r="IU306" s="210" t="s">
        <v>555</v>
      </c>
      <c r="IV306" s="211" t="s">
        <v>2065</v>
      </c>
    </row>
    <row r="307" spans="255:256" x14ac:dyDescent="0.2">
      <c r="IU307" s="210" t="s">
        <v>556</v>
      </c>
      <c r="IV307" s="211" t="s">
        <v>2066</v>
      </c>
    </row>
    <row r="308" spans="255:256" x14ac:dyDescent="0.2">
      <c r="IU308" s="210" t="s">
        <v>557</v>
      </c>
      <c r="IV308" s="211" t="s">
        <v>2067</v>
      </c>
    </row>
    <row r="309" spans="255:256" x14ac:dyDescent="0.2">
      <c r="IU309" s="210" t="s">
        <v>558</v>
      </c>
      <c r="IV309" s="211" t="s">
        <v>2068</v>
      </c>
    </row>
    <row r="310" spans="255:256" x14ac:dyDescent="0.2">
      <c r="IU310" s="210" t="s">
        <v>559</v>
      </c>
      <c r="IV310" s="211" t="s">
        <v>2069</v>
      </c>
    </row>
    <row r="311" spans="255:256" x14ac:dyDescent="0.2">
      <c r="IU311" s="210" t="s">
        <v>560</v>
      </c>
      <c r="IV311" s="211" t="s">
        <v>2070</v>
      </c>
    </row>
    <row r="312" spans="255:256" x14ac:dyDescent="0.2">
      <c r="IU312" s="210" t="s">
        <v>561</v>
      </c>
      <c r="IV312" s="211" t="s">
        <v>2071</v>
      </c>
    </row>
    <row r="313" spans="255:256" x14ac:dyDescent="0.2">
      <c r="IU313" s="210" t="s">
        <v>562</v>
      </c>
      <c r="IV313" s="211" t="s">
        <v>2072</v>
      </c>
    </row>
    <row r="314" spans="255:256" x14ac:dyDescent="0.2">
      <c r="IU314" s="210" t="s">
        <v>563</v>
      </c>
      <c r="IV314" s="211" t="s">
        <v>2073</v>
      </c>
    </row>
    <row r="315" spans="255:256" x14ac:dyDescent="0.2">
      <c r="IU315" s="210" t="s">
        <v>564</v>
      </c>
      <c r="IV315" s="211" t="s">
        <v>2074</v>
      </c>
    </row>
    <row r="316" spans="255:256" x14ac:dyDescent="0.2">
      <c r="IU316" s="210" t="s">
        <v>565</v>
      </c>
      <c r="IV316" s="211" t="s">
        <v>2075</v>
      </c>
    </row>
    <row r="317" spans="255:256" x14ac:dyDescent="0.2">
      <c r="IU317" s="210" t="s">
        <v>566</v>
      </c>
      <c r="IV317" s="211" t="s">
        <v>2076</v>
      </c>
    </row>
    <row r="318" spans="255:256" x14ac:dyDescent="0.2">
      <c r="IU318" s="210" t="s">
        <v>567</v>
      </c>
      <c r="IV318" s="211" t="s">
        <v>2077</v>
      </c>
    </row>
    <row r="319" spans="255:256" x14ac:dyDescent="0.2">
      <c r="IU319" s="210" t="s">
        <v>568</v>
      </c>
      <c r="IV319" s="211" t="s">
        <v>2078</v>
      </c>
    </row>
    <row r="320" spans="255:256" x14ac:dyDescent="0.2">
      <c r="IU320" s="210" t="s">
        <v>569</v>
      </c>
      <c r="IV320" s="211" t="s">
        <v>2079</v>
      </c>
    </row>
    <row r="321" spans="255:256" x14ac:dyDescent="0.2">
      <c r="IU321" s="210" t="s">
        <v>570</v>
      </c>
      <c r="IV321" s="211" t="s">
        <v>2080</v>
      </c>
    </row>
    <row r="322" spans="255:256" x14ac:dyDescent="0.2">
      <c r="IU322" s="210" t="s">
        <v>571</v>
      </c>
      <c r="IV322" s="211" t="s">
        <v>2081</v>
      </c>
    </row>
    <row r="323" spans="255:256" x14ac:dyDescent="0.2">
      <c r="IU323" s="210" t="s">
        <v>572</v>
      </c>
      <c r="IV323" s="211" t="s">
        <v>2082</v>
      </c>
    </row>
    <row r="324" spans="255:256" x14ac:dyDescent="0.2">
      <c r="IU324" s="210" t="s">
        <v>573</v>
      </c>
      <c r="IV324" s="211" t="s">
        <v>2083</v>
      </c>
    </row>
    <row r="325" spans="255:256" x14ac:dyDescent="0.2">
      <c r="IU325" s="210" t="s">
        <v>574</v>
      </c>
      <c r="IV325" s="211" t="s">
        <v>2084</v>
      </c>
    </row>
    <row r="326" spans="255:256" x14ac:dyDescent="0.2">
      <c r="IU326" s="210" t="s">
        <v>575</v>
      </c>
      <c r="IV326" s="211" t="s">
        <v>2085</v>
      </c>
    </row>
    <row r="327" spans="255:256" x14ac:dyDescent="0.2">
      <c r="IU327" s="210" t="s">
        <v>576</v>
      </c>
      <c r="IV327" s="211" t="s">
        <v>2086</v>
      </c>
    </row>
    <row r="328" spans="255:256" x14ac:dyDescent="0.2">
      <c r="IU328" s="210" t="s">
        <v>577</v>
      </c>
      <c r="IV328" s="211" t="s">
        <v>2087</v>
      </c>
    </row>
    <row r="329" spans="255:256" x14ac:dyDescent="0.2">
      <c r="IU329" s="210" t="s">
        <v>578</v>
      </c>
      <c r="IV329" s="211" t="s">
        <v>2088</v>
      </c>
    </row>
    <row r="330" spans="255:256" x14ac:dyDescent="0.2">
      <c r="IU330" s="210" t="s">
        <v>579</v>
      </c>
      <c r="IV330" s="211" t="s">
        <v>2089</v>
      </c>
    </row>
    <row r="331" spans="255:256" x14ac:dyDescent="0.2">
      <c r="IU331" s="210" t="s">
        <v>580</v>
      </c>
      <c r="IV331" s="211" t="s">
        <v>2090</v>
      </c>
    </row>
    <row r="332" spans="255:256" x14ac:dyDescent="0.2">
      <c r="IU332" s="210" t="s">
        <v>581</v>
      </c>
      <c r="IV332" s="211" t="s">
        <v>2091</v>
      </c>
    </row>
    <row r="333" spans="255:256" x14ac:dyDescent="0.2">
      <c r="IU333" s="210" t="s">
        <v>582</v>
      </c>
      <c r="IV333" s="211" t="s">
        <v>2092</v>
      </c>
    </row>
    <row r="334" spans="255:256" x14ac:dyDescent="0.2">
      <c r="IU334" s="210" t="s">
        <v>583</v>
      </c>
      <c r="IV334" s="211" t="s">
        <v>2093</v>
      </c>
    </row>
    <row r="335" spans="255:256" x14ac:dyDescent="0.2">
      <c r="IU335" s="210" t="s">
        <v>584</v>
      </c>
      <c r="IV335" s="211" t="s">
        <v>2094</v>
      </c>
    </row>
    <row r="336" spans="255:256" x14ac:dyDescent="0.2">
      <c r="IU336" s="210" t="s">
        <v>585</v>
      </c>
      <c r="IV336" s="211" t="s">
        <v>2095</v>
      </c>
    </row>
    <row r="337" spans="255:256" x14ac:dyDescent="0.2">
      <c r="IU337" s="210" t="s">
        <v>586</v>
      </c>
      <c r="IV337" s="211" t="s">
        <v>2096</v>
      </c>
    </row>
    <row r="338" spans="255:256" x14ac:dyDescent="0.2">
      <c r="IU338" s="210" t="s">
        <v>587</v>
      </c>
      <c r="IV338" s="211" t="s">
        <v>2097</v>
      </c>
    </row>
    <row r="339" spans="255:256" x14ac:dyDescent="0.2">
      <c r="IU339" s="210" t="s">
        <v>588</v>
      </c>
      <c r="IV339" s="211" t="s">
        <v>2098</v>
      </c>
    </row>
    <row r="340" spans="255:256" x14ac:dyDescent="0.2">
      <c r="IU340" s="210" t="s">
        <v>589</v>
      </c>
      <c r="IV340" s="211" t="s">
        <v>2099</v>
      </c>
    </row>
    <row r="341" spans="255:256" x14ac:dyDescent="0.2">
      <c r="IU341" s="210" t="s">
        <v>590</v>
      </c>
      <c r="IV341" s="211" t="s">
        <v>2100</v>
      </c>
    </row>
    <row r="342" spans="255:256" x14ac:dyDescent="0.2">
      <c r="IU342" s="210" t="s">
        <v>591</v>
      </c>
      <c r="IV342" s="211" t="s">
        <v>2101</v>
      </c>
    </row>
    <row r="343" spans="255:256" x14ac:dyDescent="0.2">
      <c r="IU343" s="210" t="s">
        <v>592</v>
      </c>
      <c r="IV343" s="211" t="s">
        <v>2102</v>
      </c>
    </row>
    <row r="344" spans="255:256" x14ac:dyDescent="0.2">
      <c r="IU344" s="210" t="s">
        <v>593</v>
      </c>
      <c r="IV344" s="211" t="s">
        <v>2103</v>
      </c>
    </row>
    <row r="345" spans="255:256" x14ac:dyDescent="0.2">
      <c r="IU345" s="210" t="s">
        <v>594</v>
      </c>
      <c r="IV345" s="211" t="s">
        <v>2104</v>
      </c>
    </row>
    <row r="346" spans="255:256" x14ac:dyDescent="0.2">
      <c r="IU346" s="210" t="s">
        <v>595</v>
      </c>
      <c r="IV346" s="211" t="s">
        <v>2105</v>
      </c>
    </row>
    <row r="347" spans="255:256" x14ac:dyDescent="0.2">
      <c r="IU347" s="210" t="s">
        <v>596</v>
      </c>
      <c r="IV347" s="211" t="s">
        <v>2106</v>
      </c>
    </row>
    <row r="348" spans="255:256" x14ac:dyDescent="0.2">
      <c r="IU348" s="210" t="s">
        <v>597</v>
      </c>
      <c r="IV348" s="211" t="s">
        <v>2107</v>
      </c>
    </row>
    <row r="349" spans="255:256" x14ac:dyDescent="0.2">
      <c r="IU349" s="210" t="s">
        <v>598</v>
      </c>
      <c r="IV349" s="211" t="s">
        <v>2108</v>
      </c>
    </row>
    <row r="350" spans="255:256" x14ac:dyDescent="0.2">
      <c r="IU350" s="210" t="s">
        <v>599</v>
      </c>
      <c r="IV350" s="211" t="s">
        <v>2109</v>
      </c>
    </row>
    <row r="351" spans="255:256" x14ac:dyDescent="0.2">
      <c r="IU351" s="210" t="s">
        <v>600</v>
      </c>
      <c r="IV351" s="211" t="s">
        <v>2110</v>
      </c>
    </row>
    <row r="352" spans="255:256" x14ac:dyDescent="0.2">
      <c r="IU352" s="210" t="s">
        <v>601</v>
      </c>
      <c r="IV352" s="211" t="s">
        <v>2111</v>
      </c>
    </row>
    <row r="353" spans="255:256" x14ac:dyDescent="0.2">
      <c r="IU353" s="210" t="s">
        <v>602</v>
      </c>
      <c r="IV353" s="211" t="s">
        <v>2112</v>
      </c>
    </row>
    <row r="354" spans="255:256" x14ac:dyDescent="0.2">
      <c r="IU354" s="210" t="s">
        <v>603</v>
      </c>
      <c r="IV354" s="211" t="s">
        <v>2113</v>
      </c>
    </row>
    <row r="355" spans="255:256" x14ac:dyDescent="0.2">
      <c r="IU355" s="210" t="s">
        <v>18</v>
      </c>
      <c r="IV355" s="211" t="s">
        <v>2114</v>
      </c>
    </row>
    <row r="356" spans="255:256" x14ac:dyDescent="0.2">
      <c r="IU356" s="210" t="s">
        <v>604</v>
      </c>
      <c r="IV356" s="211" t="s">
        <v>2115</v>
      </c>
    </row>
    <row r="357" spans="255:256" x14ac:dyDescent="0.2">
      <c r="IU357" s="210" t="s">
        <v>605</v>
      </c>
      <c r="IV357" s="211" t="s">
        <v>2116</v>
      </c>
    </row>
    <row r="358" spans="255:256" x14ac:dyDescent="0.2">
      <c r="IU358" s="210" t="s">
        <v>606</v>
      </c>
      <c r="IV358" s="211" t="s">
        <v>2117</v>
      </c>
    </row>
    <row r="359" spans="255:256" x14ac:dyDescent="0.2">
      <c r="IU359" s="210" t="s">
        <v>607</v>
      </c>
      <c r="IV359" s="211" t="s">
        <v>2118</v>
      </c>
    </row>
    <row r="360" spans="255:256" x14ac:dyDescent="0.2">
      <c r="IU360" s="210" t="s">
        <v>608</v>
      </c>
      <c r="IV360" s="211" t="s">
        <v>2119</v>
      </c>
    </row>
    <row r="361" spans="255:256" x14ac:dyDescent="0.2">
      <c r="IU361" s="210" t="s">
        <v>609</v>
      </c>
      <c r="IV361" s="211" t="s">
        <v>2120</v>
      </c>
    </row>
    <row r="362" spans="255:256" x14ac:dyDescent="0.2">
      <c r="IU362" s="210" t="s">
        <v>610</v>
      </c>
      <c r="IV362" s="211" t="s">
        <v>2121</v>
      </c>
    </row>
    <row r="363" spans="255:256" x14ac:dyDescent="0.2">
      <c r="IU363" s="210" t="s">
        <v>611</v>
      </c>
      <c r="IV363" s="211" t="s">
        <v>2122</v>
      </c>
    </row>
    <row r="364" spans="255:256" x14ac:dyDescent="0.2">
      <c r="IU364" s="210" t="s">
        <v>612</v>
      </c>
      <c r="IV364" s="211" t="s">
        <v>2123</v>
      </c>
    </row>
    <row r="365" spans="255:256" x14ac:dyDescent="0.2">
      <c r="IU365" s="210" t="s">
        <v>613</v>
      </c>
      <c r="IV365" s="211" t="s">
        <v>2124</v>
      </c>
    </row>
    <row r="366" spans="255:256" x14ac:dyDescent="0.2">
      <c r="IU366" s="210" t="s">
        <v>614</v>
      </c>
      <c r="IV366" s="211" t="s">
        <v>2030</v>
      </c>
    </row>
    <row r="367" spans="255:256" x14ac:dyDescent="0.2">
      <c r="IU367" s="210" t="s">
        <v>615</v>
      </c>
      <c r="IV367" s="211" t="s">
        <v>2030</v>
      </c>
    </row>
    <row r="368" spans="255:256" x14ac:dyDescent="0.2">
      <c r="IU368" s="210" t="s">
        <v>616</v>
      </c>
      <c r="IV368" s="211" t="s">
        <v>2030</v>
      </c>
    </row>
    <row r="369" spans="255:256" x14ac:dyDescent="0.2">
      <c r="IU369" s="210" t="s">
        <v>617</v>
      </c>
      <c r="IV369" s="211" t="s">
        <v>2030</v>
      </c>
    </row>
    <row r="370" spans="255:256" x14ac:dyDescent="0.2">
      <c r="IU370" s="210" t="s">
        <v>618</v>
      </c>
      <c r="IV370" s="211" t="s">
        <v>2125</v>
      </c>
    </row>
    <row r="371" spans="255:256" x14ac:dyDescent="0.2">
      <c r="IU371" s="210" t="s">
        <v>619</v>
      </c>
      <c r="IV371" s="211" t="s">
        <v>2030</v>
      </c>
    </row>
    <row r="372" spans="255:256" x14ac:dyDescent="0.2">
      <c r="IU372" s="210" t="s">
        <v>620</v>
      </c>
      <c r="IV372" s="211" t="s">
        <v>2030</v>
      </c>
    </row>
    <row r="373" spans="255:256" x14ac:dyDescent="0.2">
      <c r="IU373" s="210" t="s">
        <v>621</v>
      </c>
      <c r="IV373" s="211" t="s">
        <v>2030</v>
      </c>
    </row>
    <row r="374" spans="255:256" x14ac:dyDescent="0.2">
      <c r="IU374" s="210" t="s">
        <v>622</v>
      </c>
      <c r="IV374" s="211" t="s">
        <v>2030</v>
      </c>
    </row>
    <row r="375" spans="255:256" x14ac:dyDescent="0.2">
      <c r="IU375" s="210" t="s">
        <v>623</v>
      </c>
      <c r="IV375" s="211" t="s">
        <v>2126</v>
      </c>
    </row>
    <row r="376" spans="255:256" x14ac:dyDescent="0.2">
      <c r="IU376" s="210" t="s">
        <v>624</v>
      </c>
      <c r="IV376" s="211" t="s">
        <v>2127</v>
      </c>
    </row>
    <row r="377" spans="255:256" x14ac:dyDescent="0.2">
      <c r="IU377" s="210" t="s">
        <v>1743</v>
      </c>
      <c r="IV377" s="211" t="s">
        <v>2128</v>
      </c>
    </row>
    <row r="378" spans="255:256" x14ac:dyDescent="0.2">
      <c r="IU378" s="210" t="s">
        <v>625</v>
      </c>
      <c r="IV378" s="211" t="s">
        <v>2129</v>
      </c>
    </row>
    <row r="379" spans="255:256" x14ac:dyDescent="0.2">
      <c r="IU379" s="210" t="s">
        <v>626</v>
      </c>
      <c r="IV379" s="211" t="s">
        <v>2130</v>
      </c>
    </row>
    <row r="380" spans="255:256" x14ac:dyDescent="0.2">
      <c r="IU380" s="210" t="s">
        <v>627</v>
      </c>
      <c r="IV380" s="211" t="s">
        <v>2131</v>
      </c>
    </row>
    <row r="381" spans="255:256" x14ac:dyDescent="0.2">
      <c r="IU381" s="210" t="s">
        <v>628</v>
      </c>
      <c r="IV381" s="211" t="s">
        <v>2132</v>
      </c>
    </row>
    <row r="382" spans="255:256" x14ac:dyDescent="0.2">
      <c r="IU382" s="210" t="s">
        <v>629</v>
      </c>
      <c r="IV382" s="211" t="s">
        <v>2133</v>
      </c>
    </row>
    <row r="383" spans="255:256" x14ac:dyDescent="0.2">
      <c r="IU383" s="210" t="s">
        <v>630</v>
      </c>
      <c r="IV383" s="211" t="s">
        <v>2134</v>
      </c>
    </row>
    <row r="384" spans="255:256" x14ac:dyDescent="0.2">
      <c r="IU384" s="210" t="s">
        <v>631</v>
      </c>
      <c r="IV384" s="211" t="s">
        <v>2135</v>
      </c>
    </row>
    <row r="385" spans="255:256" x14ac:dyDescent="0.2">
      <c r="IU385" s="210" t="s">
        <v>632</v>
      </c>
      <c r="IV385" s="211" t="s">
        <v>2136</v>
      </c>
    </row>
    <row r="386" spans="255:256" x14ac:dyDescent="0.2">
      <c r="IU386" s="210" t="s">
        <v>633</v>
      </c>
      <c r="IV386" s="211" t="s">
        <v>2137</v>
      </c>
    </row>
    <row r="387" spans="255:256" x14ac:dyDescent="0.2">
      <c r="IU387" s="210" t="s">
        <v>634</v>
      </c>
      <c r="IV387" s="211" t="s">
        <v>2138</v>
      </c>
    </row>
    <row r="388" spans="255:256" x14ac:dyDescent="0.2">
      <c r="IU388" s="210" t="s">
        <v>635</v>
      </c>
      <c r="IV388" s="211" t="s">
        <v>2139</v>
      </c>
    </row>
    <row r="389" spans="255:256" x14ac:dyDescent="0.2">
      <c r="IU389" s="210" t="s">
        <v>636</v>
      </c>
      <c r="IV389" s="211" t="s">
        <v>2140</v>
      </c>
    </row>
    <row r="390" spans="255:256" x14ac:dyDescent="0.2">
      <c r="IU390" s="210" t="s">
        <v>637</v>
      </c>
      <c r="IV390" s="211" t="s">
        <v>2141</v>
      </c>
    </row>
    <row r="391" spans="255:256" x14ac:dyDescent="0.2">
      <c r="IU391" s="210" t="s">
        <v>638</v>
      </c>
      <c r="IV391" s="211" t="s">
        <v>2142</v>
      </c>
    </row>
    <row r="392" spans="255:256" x14ac:dyDescent="0.2">
      <c r="IU392" s="210" t="s">
        <v>639</v>
      </c>
      <c r="IV392" s="211" t="s">
        <v>2143</v>
      </c>
    </row>
    <row r="393" spans="255:256" x14ac:dyDescent="0.2">
      <c r="IU393" s="210" t="s">
        <v>640</v>
      </c>
      <c r="IV393" s="211" t="s">
        <v>2144</v>
      </c>
    </row>
    <row r="394" spans="255:256" x14ac:dyDescent="0.2">
      <c r="IU394" s="210" t="s">
        <v>641</v>
      </c>
      <c r="IV394" s="211" t="s">
        <v>2145</v>
      </c>
    </row>
    <row r="395" spans="255:256" x14ac:dyDescent="0.2">
      <c r="IU395" s="210" t="s">
        <v>642</v>
      </c>
      <c r="IV395" s="211" t="s">
        <v>2146</v>
      </c>
    </row>
    <row r="396" spans="255:256" x14ac:dyDescent="0.2">
      <c r="IU396" s="210" t="s">
        <v>643</v>
      </c>
      <c r="IV396" s="211" t="s">
        <v>2147</v>
      </c>
    </row>
    <row r="397" spans="255:256" x14ac:dyDescent="0.2">
      <c r="IU397" s="210" t="s">
        <v>644</v>
      </c>
      <c r="IV397" s="211" t="s">
        <v>2148</v>
      </c>
    </row>
    <row r="398" spans="255:256" x14ac:dyDescent="0.2">
      <c r="IU398" s="210" t="s">
        <v>645</v>
      </c>
      <c r="IV398" s="211" t="s">
        <v>2149</v>
      </c>
    </row>
    <row r="399" spans="255:256" x14ac:dyDescent="0.2">
      <c r="IU399" s="210" t="s">
        <v>646</v>
      </c>
      <c r="IV399" s="211" t="s">
        <v>2150</v>
      </c>
    </row>
    <row r="400" spans="255:256" x14ac:dyDescent="0.2">
      <c r="IU400" s="210" t="s">
        <v>647</v>
      </c>
      <c r="IV400" s="211" t="s">
        <v>2151</v>
      </c>
    </row>
    <row r="401" spans="255:256" x14ac:dyDescent="0.2">
      <c r="IU401" s="210" t="s">
        <v>648</v>
      </c>
      <c r="IV401" s="211" t="s">
        <v>2152</v>
      </c>
    </row>
    <row r="402" spans="255:256" x14ac:dyDescent="0.2">
      <c r="IU402" s="210" t="s">
        <v>649</v>
      </c>
      <c r="IV402" s="211" t="s">
        <v>2153</v>
      </c>
    </row>
    <row r="403" spans="255:256" x14ac:dyDescent="0.2">
      <c r="IU403" s="210" t="s">
        <v>650</v>
      </c>
      <c r="IV403" s="211" t="s">
        <v>2154</v>
      </c>
    </row>
    <row r="404" spans="255:256" x14ac:dyDescent="0.2">
      <c r="IU404" s="210" t="s">
        <v>651</v>
      </c>
      <c r="IV404" s="211" t="s">
        <v>2155</v>
      </c>
    </row>
    <row r="405" spans="255:256" x14ac:dyDescent="0.2">
      <c r="IU405" s="210" t="s">
        <v>652</v>
      </c>
      <c r="IV405" s="211" t="s">
        <v>2156</v>
      </c>
    </row>
    <row r="406" spans="255:256" x14ac:dyDescent="0.2">
      <c r="IU406" s="210" t="s">
        <v>653</v>
      </c>
      <c r="IV406" s="211" t="s">
        <v>2157</v>
      </c>
    </row>
    <row r="407" spans="255:256" x14ac:dyDescent="0.2">
      <c r="IU407" s="210" t="s">
        <v>654</v>
      </c>
      <c r="IV407" s="211" t="s">
        <v>2158</v>
      </c>
    </row>
    <row r="408" spans="255:256" x14ac:dyDescent="0.2">
      <c r="IU408" s="210" t="s">
        <v>655</v>
      </c>
      <c r="IV408" s="211" t="s">
        <v>1839</v>
      </c>
    </row>
    <row r="409" spans="255:256" x14ac:dyDescent="0.2">
      <c r="IU409" s="210" t="s">
        <v>656</v>
      </c>
      <c r="IV409" s="211" t="s">
        <v>2159</v>
      </c>
    </row>
    <row r="410" spans="255:256" x14ac:dyDescent="0.2">
      <c r="IU410" s="210" t="s">
        <v>657</v>
      </c>
      <c r="IV410" s="211" t="s">
        <v>2160</v>
      </c>
    </row>
    <row r="411" spans="255:256" x14ac:dyDescent="0.2">
      <c r="IU411" s="210" t="s">
        <v>658</v>
      </c>
      <c r="IV411" s="211" t="s">
        <v>2161</v>
      </c>
    </row>
    <row r="412" spans="255:256" x14ac:dyDescent="0.2">
      <c r="IU412" s="210" t="s">
        <v>659</v>
      </c>
      <c r="IV412" s="211" t="s">
        <v>2162</v>
      </c>
    </row>
    <row r="413" spans="255:256" x14ac:dyDescent="0.2">
      <c r="IU413" s="210" t="s">
        <v>660</v>
      </c>
      <c r="IV413" s="211" t="s">
        <v>2163</v>
      </c>
    </row>
    <row r="414" spans="255:256" x14ac:dyDescent="0.2">
      <c r="IU414" s="210" t="s">
        <v>661</v>
      </c>
      <c r="IV414" s="211" t="s">
        <v>2164</v>
      </c>
    </row>
    <row r="415" spans="255:256" x14ac:dyDescent="0.2">
      <c r="IU415" s="210" t="s">
        <v>662</v>
      </c>
      <c r="IV415" s="211" t="s">
        <v>2165</v>
      </c>
    </row>
    <row r="416" spans="255:256" x14ac:dyDescent="0.2">
      <c r="IU416" s="210" t="s">
        <v>663</v>
      </c>
      <c r="IV416" s="211" t="s">
        <v>2166</v>
      </c>
    </row>
    <row r="417" spans="255:256" x14ac:dyDescent="0.2">
      <c r="IU417" s="210" t="s">
        <v>664</v>
      </c>
      <c r="IV417" s="211" t="s">
        <v>2167</v>
      </c>
    </row>
    <row r="418" spans="255:256" x14ac:dyDescent="0.2">
      <c r="IU418" s="210" t="s">
        <v>665</v>
      </c>
      <c r="IV418" s="211" t="s">
        <v>2168</v>
      </c>
    </row>
    <row r="419" spans="255:256" x14ac:dyDescent="0.2">
      <c r="IU419" s="210" t="s">
        <v>666</v>
      </c>
      <c r="IV419" s="211" t="s">
        <v>2169</v>
      </c>
    </row>
    <row r="420" spans="255:256" x14ac:dyDescent="0.2">
      <c r="IU420" s="210" t="s">
        <v>667</v>
      </c>
      <c r="IV420" s="211" t="s">
        <v>2170</v>
      </c>
    </row>
    <row r="421" spans="255:256" x14ac:dyDescent="0.2">
      <c r="IU421" s="210" t="s">
        <v>668</v>
      </c>
      <c r="IV421" s="211" t="s">
        <v>2171</v>
      </c>
    </row>
    <row r="422" spans="255:256" x14ac:dyDescent="0.2">
      <c r="IU422" s="210" t="s">
        <v>669</v>
      </c>
      <c r="IV422" s="211" t="s">
        <v>2172</v>
      </c>
    </row>
    <row r="423" spans="255:256" x14ac:dyDescent="0.2">
      <c r="IU423" s="210" t="s">
        <v>670</v>
      </c>
      <c r="IV423" s="211" t="s">
        <v>2173</v>
      </c>
    </row>
    <row r="424" spans="255:256" x14ac:dyDescent="0.2">
      <c r="IU424" s="210" t="s">
        <v>671</v>
      </c>
      <c r="IV424" s="211" t="s">
        <v>2174</v>
      </c>
    </row>
    <row r="425" spans="255:256" x14ac:dyDescent="0.2">
      <c r="IU425" s="210" t="s">
        <v>672</v>
      </c>
      <c r="IV425" s="211" t="s">
        <v>2175</v>
      </c>
    </row>
    <row r="426" spans="255:256" x14ac:dyDescent="0.2">
      <c r="IU426" s="210" t="s">
        <v>673</v>
      </c>
      <c r="IV426" s="211" t="s">
        <v>2176</v>
      </c>
    </row>
    <row r="427" spans="255:256" x14ac:dyDescent="0.2">
      <c r="IU427" s="210" t="s">
        <v>674</v>
      </c>
      <c r="IV427" s="211" t="s">
        <v>2177</v>
      </c>
    </row>
    <row r="428" spans="255:256" x14ac:dyDescent="0.2">
      <c r="IU428" s="210" t="s">
        <v>675</v>
      </c>
      <c r="IV428" s="211" t="s">
        <v>2178</v>
      </c>
    </row>
    <row r="429" spans="255:256" x14ac:dyDescent="0.2">
      <c r="IU429" s="210" t="s">
        <v>676</v>
      </c>
      <c r="IV429" s="211" t="s">
        <v>2179</v>
      </c>
    </row>
    <row r="430" spans="255:256" x14ac:dyDescent="0.2">
      <c r="IU430" s="210" t="s">
        <v>677</v>
      </c>
      <c r="IV430" s="211" t="s">
        <v>2180</v>
      </c>
    </row>
    <row r="431" spans="255:256" x14ac:dyDescent="0.2">
      <c r="IU431" s="210" t="s">
        <v>678</v>
      </c>
      <c r="IV431" s="211" t="s">
        <v>2181</v>
      </c>
    </row>
    <row r="432" spans="255:256" x14ac:dyDescent="0.2">
      <c r="IU432" s="210" t="s">
        <v>679</v>
      </c>
      <c r="IV432" s="211" t="s">
        <v>2182</v>
      </c>
    </row>
    <row r="433" spans="255:256" x14ac:dyDescent="0.2">
      <c r="IU433" s="210" t="s">
        <v>680</v>
      </c>
      <c r="IV433" s="211" t="s">
        <v>2183</v>
      </c>
    </row>
    <row r="434" spans="255:256" x14ac:dyDescent="0.2">
      <c r="IU434" s="210" t="s">
        <v>681</v>
      </c>
      <c r="IV434" s="211" t="s">
        <v>2184</v>
      </c>
    </row>
    <row r="435" spans="255:256" x14ac:dyDescent="0.2">
      <c r="IU435" s="210" t="s">
        <v>682</v>
      </c>
      <c r="IV435" s="211" t="s">
        <v>2185</v>
      </c>
    </row>
    <row r="436" spans="255:256" x14ac:dyDescent="0.2">
      <c r="IU436" s="210" t="s">
        <v>683</v>
      </c>
      <c r="IV436" s="211" t="s">
        <v>2186</v>
      </c>
    </row>
    <row r="437" spans="255:256" x14ac:dyDescent="0.2">
      <c r="IU437" s="210" t="s">
        <v>684</v>
      </c>
      <c r="IV437" s="211" t="s">
        <v>2187</v>
      </c>
    </row>
    <row r="438" spans="255:256" x14ac:dyDescent="0.2">
      <c r="IU438" s="210" t="s">
        <v>685</v>
      </c>
      <c r="IV438" s="211" t="s">
        <v>2188</v>
      </c>
    </row>
    <row r="439" spans="255:256" x14ac:dyDescent="0.2">
      <c r="IU439" s="210" t="s">
        <v>686</v>
      </c>
      <c r="IV439" s="211" t="s">
        <v>2189</v>
      </c>
    </row>
    <row r="440" spans="255:256" x14ac:dyDescent="0.2">
      <c r="IU440" s="210" t="s">
        <v>687</v>
      </c>
      <c r="IV440" s="211" t="s">
        <v>2190</v>
      </c>
    </row>
    <row r="441" spans="255:256" x14ac:dyDescent="0.2">
      <c r="IU441" s="210" t="s">
        <v>688</v>
      </c>
      <c r="IV441" s="211" t="s">
        <v>2191</v>
      </c>
    </row>
    <row r="442" spans="255:256" x14ac:dyDescent="0.2">
      <c r="IU442" s="210" t="s">
        <v>689</v>
      </c>
      <c r="IV442" s="211" t="s">
        <v>2192</v>
      </c>
    </row>
    <row r="443" spans="255:256" x14ac:dyDescent="0.2">
      <c r="IU443" s="210" t="s">
        <v>690</v>
      </c>
      <c r="IV443" s="211" t="s">
        <v>2193</v>
      </c>
    </row>
    <row r="444" spans="255:256" x14ac:dyDescent="0.2">
      <c r="IU444" s="210" t="s">
        <v>691</v>
      </c>
      <c r="IV444" s="211" t="s">
        <v>2194</v>
      </c>
    </row>
    <row r="445" spans="255:256" x14ac:dyDescent="0.2">
      <c r="IU445" s="210" t="s">
        <v>692</v>
      </c>
      <c r="IV445" s="211" t="s">
        <v>2195</v>
      </c>
    </row>
    <row r="446" spans="255:256" x14ac:dyDescent="0.2">
      <c r="IU446" s="210" t="s">
        <v>693</v>
      </c>
      <c r="IV446" s="211" t="s">
        <v>2196</v>
      </c>
    </row>
    <row r="447" spans="255:256" x14ac:dyDescent="0.2">
      <c r="IU447" s="210" t="s">
        <v>694</v>
      </c>
      <c r="IV447" s="211" t="s">
        <v>2197</v>
      </c>
    </row>
    <row r="448" spans="255:256" x14ac:dyDescent="0.2">
      <c r="IU448" s="210" t="s">
        <v>695</v>
      </c>
      <c r="IV448" s="211" t="s">
        <v>2198</v>
      </c>
    </row>
    <row r="449" spans="255:256" x14ac:dyDescent="0.2">
      <c r="IU449" s="210" t="s">
        <v>696</v>
      </c>
      <c r="IV449" s="211" t="s">
        <v>2199</v>
      </c>
    </row>
    <row r="450" spans="255:256" x14ac:dyDescent="0.2">
      <c r="IU450" s="210" t="s">
        <v>697</v>
      </c>
      <c r="IV450" s="211" t="s">
        <v>1964</v>
      </c>
    </row>
    <row r="451" spans="255:256" x14ac:dyDescent="0.2">
      <c r="IU451" s="210" t="s">
        <v>698</v>
      </c>
      <c r="IV451" s="211" t="s">
        <v>2200</v>
      </c>
    </row>
    <row r="452" spans="255:256" x14ac:dyDescent="0.2">
      <c r="IU452" s="210" t="s">
        <v>699</v>
      </c>
      <c r="IV452" s="211" t="s">
        <v>2201</v>
      </c>
    </row>
    <row r="453" spans="255:256" x14ac:dyDescent="0.2">
      <c r="IU453" s="210" t="s">
        <v>700</v>
      </c>
      <c r="IV453" s="211" t="s">
        <v>2202</v>
      </c>
    </row>
    <row r="454" spans="255:256" x14ac:dyDescent="0.2">
      <c r="IU454" s="210" t="s">
        <v>701</v>
      </c>
      <c r="IV454" s="211" t="s">
        <v>2203</v>
      </c>
    </row>
    <row r="455" spans="255:256" x14ac:dyDescent="0.2">
      <c r="IU455" s="210" t="s">
        <v>702</v>
      </c>
      <c r="IV455" s="211" t="s">
        <v>2204</v>
      </c>
    </row>
    <row r="456" spans="255:256" x14ac:dyDescent="0.2">
      <c r="IU456" s="210" t="s">
        <v>703</v>
      </c>
      <c r="IV456" s="211" t="s">
        <v>2205</v>
      </c>
    </row>
    <row r="457" spans="255:256" x14ac:dyDescent="0.2">
      <c r="IU457" s="210" t="s">
        <v>704</v>
      </c>
      <c r="IV457" s="211" t="s">
        <v>2206</v>
      </c>
    </row>
    <row r="458" spans="255:256" x14ac:dyDescent="0.2">
      <c r="IU458" s="210" t="s">
        <v>705</v>
      </c>
      <c r="IV458" s="211" t="s">
        <v>2207</v>
      </c>
    </row>
    <row r="459" spans="255:256" x14ac:dyDescent="0.2">
      <c r="IU459" s="210" t="s">
        <v>706</v>
      </c>
      <c r="IV459" s="211" t="s">
        <v>2208</v>
      </c>
    </row>
    <row r="460" spans="255:256" x14ac:dyDescent="0.2">
      <c r="IU460" s="210" t="s">
        <v>707</v>
      </c>
      <c r="IV460" s="211" t="s">
        <v>2209</v>
      </c>
    </row>
    <row r="461" spans="255:256" x14ac:dyDescent="0.2">
      <c r="IU461" s="210" t="s">
        <v>708</v>
      </c>
      <c r="IV461" s="211" t="s">
        <v>2210</v>
      </c>
    </row>
    <row r="462" spans="255:256" x14ac:dyDescent="0.2">
      <c r="IU462" s="210" t="s">
        <v>709</v>
      </c>
      <c r="IV462" s="211" t="s">
        <v>2211</v>
      </c>
    </row>
    <row r="463" spans="255:256" x14ac:dyDescent="0.2">
      <c r="IU463" s="210" t="s">
        <v>710</v>
      </c>
      <c r="IV463" s="211" t="s">
        <v>2212</v>
      </c>
    </row>
    <row r="464" spans="255:256" x14ac:dyDescent="0.2">
      <c r="IU464" s="210" t="s">
        <v>711</v>
      </c>
      <c r="IV464" s="211" t="s">
        <v>2213</v>
      </c>
    </row>
    <row r="465" spans="255:256" x14ac:dyDescent="0.2">
      <c r="IU465" s="210" t="s">
        <v>712</v>
      </c>
      <c r="IV465" s="211" t="s">
        <v>2214</v>
      </c>
    </row>
    <row r="466" spans="255:256" x14ac:dyDescent="0.2">
      <c r="IU466" s="210" t="s">
        <v>713</v>
      </c>
      <c r="IV466" s="211" t="s">
        <v>2215</v>
      </c>
    </row>
    <row r="467" spans="255:256" x14ac:dyDescent="0.2">
      <c r="IU467" s="210" t="s">
        <v>714</v>
      </c>
      <c r="IV467" s="211" t="s">
        <v>2216</v>
      </c>
    </row>
    <row r="468" spans="255:256" x14ac:dyDescent="0.2">
      <c r="IU468" s="210" t="s">
        <v>715</v>
      </c>
      <c r="IV468" s="211" t="s">
        <v>2217</v>
      </c>
    </row>
    <row r="469" spans="255:256" x14ac:dyDescent="0.2">
      <c r="IU469" s="210" t="s">
        <v>716</v>
      </c>
      <c r="IV469" s="211" t="s">
        <v>2218</v>
      </c>
    </row>
    <row r="470" spans="255:256" x14ac:dyDescent="0.2">
      <c r="IU470" s="210" t="s">
        <v>717</v>
      </c>
      <c r="IV470" s="211" t="s">
        <v>2219</v>
      </c>
    </row>
    <row r="471" spans="255:256" x14ac:dyDescent="0.2">
      <c r="IU471" s="210" t="s">
        <v>718</v>
      </c>
      <c r="IV471" s="211" t="s">
        <v>2220</v>
      </c>
    </row>
    <row r="472" spans="255:256" x14ac:dyDescent="0.2">
      <c r="IU472" s="210" t="s">
        <v>719</v>
      </c>
      <c r="IV472" s="211" t="s">
        <v>2221</v>
      </c>
    </row>
    <row r="473" spans="255:256" x14ac:dyDescent="0.2">
      <c r="IU473" s="210" t="s">
        <v>720</v>
      </c>
      <c r="IV473" s="211" t="s">
        <v>2222</v>
      </c>
    </row>
    <row r="474" spans="255:256" x14ac:dyDescent="0.2">
      <c r="IU474" s="210" t="s">
        <v>721</v>
      </c>
      <c r="IV474" s="211" t="s">
        <v>2223</v>
      </c>
    </row>
    <row r="475" spans="255:256" x14ac:dyDescent="0.2">
      <c r="IU475" s="210" t="s">
        <v>722</v>
      </c>
      <c r="IV475" s="211" t="s">
        <v>2224</v>
      </c>
    </row>
    <row r="476" spans="255:256" x14ac:dyDescent="0.2">
      <c r="IU476" s="210" t="s">
        <v>723</v>
      </c>
      <c r="IV476" s="211" t="s">
        <v>2225</v>
      </c>
    </row>
    <row r="477" spans="255:256" x14ac:dyDescent="0.2">
      <c r="IU477" s="210" t="s">
        <v>724</v>
      </c>
      <c r="IV477" s="211" t="s">
        <v>2226</v>
      </c>
    </row>
    <row r="478" spans="255:256" x14ac:dyDescent="0.2">
      <c r="IU478" s="210" t="s">
        <v>725</v>
      </c>
      <c r="IV478" s="211" t="s">
        <v>2227</v>
      </c>
    </row>
    <row r="479" spans="255:256" x14ac:dyDescent="0.2">
      <c r="IU479" s="210" t="s">
        <v>726</v>
      </c>
      <c r="IV479" s="211" t="s">
        <v>2228</v>
      </c>
    </row>
    <row r="480" spans="255:256" x14ac:dyDescent="0.2">
      <c r="IU480" s="210" t="s">
        <v>727</v>
      </c>
      <c r="IV480" s="211" t="s">
        <v>2229</v>
      </c>
    </row>
    <row r="481" spans="255:256" x14ac:dyDescent="0.2">
      <c r="IU481" s="210" t="s">
        <v>728</v>
      </c>
      <c r="IV481" s="211" t="s">
        <v>2230</v>
      </c>
    </row>
    <row r="482" spans="255:256" x14ac:dyDescent="0.2">
      <c r="IU482" s="210" t="s">
        <v>729</v>
      </c>
      <c r="IV482" s="211" t="s">
        <v>2231</v>
      </c>
    </row>
    <row r="483" spans="255:256" x14ac:dyDescent="0.2">
      <c r="IU483" s="210" t="s">
        <v>730</v>
      </c>
      <c r="IV483" s="211" t="s">
        <v>2232</v>
      </c>
    </row>
    <row r="484" spans="255:256" x14ac:dyDescent="0.2">
      <c r="IU484" s="210" t="s">
        <v>731</v>
      </c>
      <c r="IV484" s="211" t="s">
        <v>2233</v>
      </c>
    </row>
    <row r="485" spans="255:256" x14ac:dyDescent="0.2">
      <c r="IU485" s="210" t="s">
        <v>732</v>
      </c>
      <c r="IV485" s="211" t="s">
        <v>2234</v>
      </c>
    </row>
    <row r="486" spans="255:256" x14ac:dyDescent="0.2">
      <c r="IU486" s="210" t="s">
        <v>733</v>
      </c>
      <c r="IV486" s="211" t="s">
        <v>1880</v>
      </c>
    </row>
    <row r="487" spans="255:256" x14ac:dyDescent="0.2">
      <c r="IU487" s="210" t="s">
        <v>734</v>
      </c>
      <c r="IV487" s="211" t="s">
        <v>2235</v>
      </c>
    </row>
    <row r="488" spans="255:256" x14ac:dyDescent="0.2">
      <c r="IU488" s="210" t="s">
        <v>735</v>
      </c>
      <c r="IV488" s="211" t="s">
        <v>2236</v>
      </c>
    </row>
    <row r="489" spans="255:256" x14ac:dyDescent="0.2">
      <c r="IU489" s="210" t="s">
        <v>736</v>
      </c>
      <c r="IV489" s="211" t="s">
        <v>2237</v>
      </c>
    </row>
    <row r="490" spans="255:256" x14ac:dyDescent="0.2">
      <c r="IU490" s="210" t="s">
        <v>737</v>
      </c>
      <c r="IV490" s="211" t="s">
        <v>2238</v>
      </c>
    </row>
    <row r="491" spans="255:256" x14ac:dyDescent="0.2">
      <c r="IU491" s="210" t="s">
        <v>738</v>
      </c>
      <c r="IV491" s="211" t="s">
        <v>2239</v>
      </c>
    </row>
    <row r="492" spans="255:256" x14ac:dyDescent="0.2">
      <c r="IU492" s="210" t="s">
        <v>739</v>
      </c>
      <c r="IV492" s="211" t="s">
        <v>2240</v>
      </c>
    </row>
    <row r="493" spans="255:256" x14ac:dyDescent="0.2">
      <c r="IU493" s="210" t="s">
        <v>740</v>
      </c>
      <c r="IV493" s="211" t="s">
        <v>2241</v>
      </c>
    </row>
    <row r="494" spans="255:256" x14ac:dyDescent="0.2">
      <c r="IU494" s="210" t="s">
        <v>741</v>
      </c>
      <c r="IV494" s="211" t="s">
        <v>1988</v>
      </c>
    </row>
    <row r="495" spans="255:256" x14ac:dyDescent="0.2">
      <c r="IU495" s="210" t="s">
        <v>742</v>
      </c>
      <c r="IV495" s="211" t="s">
        <v>2242</v>
      </c>
    </row>
    <row r="496" spans="255:256" x14ac:dyDescent="0.2">
      <c r="IU496" s="210" t="s">
        <v>743</v>
      </c>
      <c r="IV496" s="211" t="s">
        <v>2243</v>
      </c>
    </row>
    <row r="497" spans="255:256" x14ac:dyDescent="0.2">
      <c r="IU497" s="210" t="s">
        <v>744</v>
      </c>
      <c r="IV497" s="211" t="s">
        <v>2244</v>
      </c>
    </row>
    <row r="498" spans="255:256" x14ac:dyDescent="0.2">
      <c r="IU498" s="210" t="s">
        <v>745</v>
      </c>
      <c r="IV498" s="211" t="s">
        <v>1964</v>
      </c>
    </row>
    <row r="499" spans="255:256" x14ac:dyDescent="0.2">
      <c r="IU499" s="210" t="s">
        <v>746</v>
      </c>
      <c r="IV499" s="211" t="s">
        <v>2245</v>
      </c>
    </row>
    <row r="500" spans="255:256" x14ac:dyDescent="0.2">
      <c r="IU500" s="210" t="s">
        <v>747</v>
      </c>
      <c r="IV500" s="211" t="s">
        <v>2246</v>
      </c>
    </row>
    <row r="501" spans="255:256" x14ac:dyDescent="0.2">
      <c r="IU501" s="210" t="s">
        <v>748</v>
      </c>
      <c r="IV501" s="211" t="s">
        <v>2247</v>
      </c>
    </row>
    <row r="502" spans="255:256" x14ac:dyDescent="0.2">
      <c r="IU502" s="210" t="s">
        <v>749</v>
      </c>
      <c r="IV502" s="211" t="s">
        <v>2248</v>
      </c>
    </row>
    <row r="503" spans="255:256" x14ac:dyDescent="0.2">
      <c r="IU503" s="210" t="s">
        <v>750</v>
      </c>
      <c r="IV503" s="211" t="s">
        <v>2249</v>
      </c>
    </row>
    <row r="504" spans="255:256" x14ac:dyDescent="0.2">
      <c r="IU504" s="210" t="s">
        <v>751</v>
      </c>
      <c r="IV504" s="211" t="s">
        <v>2250</v>
      </c>
    </row>
    <row r="505" spans="255:256" x14ac:dyDescent="0.2">
      <c r="IU505" s="210" t="s">
        <v>752</v>
      </c>
      <c r="IV505" s="211" t="s">
        <v>2251</v>
      </c>
    </row>
    <row r="506" spans="255:256" x14ac:dyDescent="0.2">
      <c r="IU506" s="210" t="s">
        <v>753</v>
      </c>
      <c r="IV506" s="211" t="s">
        <v>2252</v>
      </c>
    </row>
    <row r="507" spans="255:256" x14ac:dyDescent="0.2">
      <c r="IU507" s="210" t="s">
        <v>754</v>
      </c>
      <c r="IV507" s="211" t="s">
        <v>2253</v>
      </c>
    </row>
    <row r="508" spans="255:256" x14ac:dyDescent="0.2">
      <c r="IU508" s="210" t="s">
        <v>755</v>
      </c>
      <c r="IV508" s="211" t="s">
        <v>2254</v>
      </c>
    </row>
    <row r="509" spans="255:256" x14ac:dyDescent="0.2">
      <c r="IU509" s="210" t="s">
        <v>756</v>
      </c>
      <c r="IV509" s="211" t="s">
        <v>2255</v>
      </c>
    </row>
    <row r="510" spans="255:256" x14ac:dyDescent="0.2">
      <c r="IU510" s="210" t="s">
        <v>757</v>
      </c>
      <c r="IV510" s="211" t="s">
        <v>2256</v>
      </c>
    </row>
    <row r="511" spans="255:256" x14ac:dyDescent="0.2">
      <c r="IU511" s="210" t="s">
        <v>758</v>
      </c>
      <c r="IV511" s="211" t="s">
        <v>2257</v>
      </c>
    </row>
    <row r="512" spans="255:256" x14ac:dyDescent="0.2">
      <c r="IU512" s="210" t="s">
        <v>759</v>
      </c>
      <c r="IV512" s="211" t="s">
        <v>2258</v>
      </c>
    </row>
    <row r="513" spans="255:256" x14ac:dyDescent="0.2">
      <c r="IU513" s="210" t="s">
        <v>760</v>
      </c>
      <c r="IV513" s="211" t="s">
        <v>2259</v>
      </c>
    </row>
    <row r="514" spans="255:256" x14ac:dyDescent="0.2">
      <c r="IU514" s="210" t="s">
        <v>761</v>
      </c>
      <c r="IV514" s="211" t="s">
        <v>2260</v>
      </c>
    </row>
    <row r="515" spans="255:256" x14ac:dyDescent="0.2">
      <c r="IU515" s="210" t="s">
        <v>762</v>
      </c>
      <c r="IV515" s="211" t="s">
        <v>2261</v>
      </c>
    </row>
    <row r="516" spans="255:256" x14ac:dyDescent="0.2">
      <c r="IU516" s="210" t="s">
        <v>763</v>
      </c>
      <c r="IV516" s="211" t="s">
        <v>2262</v>
      </c>
    </row>
    <row r="517" spans="255:256" x14ac:dyDescent="0.2">
      <c r="IU517" s="210" t="s">
        <v>764</v>
      </c>
      <c r="IV517" s="211" t="s">
        <v>2263</v>
      </c>
    </row>
    <row r="518" spans="255:256" x14ac:dyDescent="0.2">
      <c r="IU518" s="210" t="s">
        <v>765</v>
      </c>
      <c r="IV518" s="211" t="s">
        <v>2264</v>
      </c>
    </row>
    <row r="519" spans="255:256" x14ac:dyDescent="0.2">
      <c r="IU519" s="210" t="s">
        <v>766</v>
      </c>
      <c r="IV519" s="211" t="s">
        <v>2265</v>
      </c>
    </row>
    <row r="520" spans="255:256" x14ac:dyDescent="0.2">
      <c r="IU520" s="210" t="s">
        <v>767</v>
      </c>
      <c r="IV520" s="211" t="s">
        <v>2266</v>
      </c>
    </row>
    <row r="521" spans="255:256" x14ac:dyDescent="0.2">
      <c r="IU521" s="210" t="s">
        <v>768</v>
      </c>
      <c r="IV521" s="211" t="s">
        <v>2267</v>
      </c>
    </row>
    <row r="522" spans="255:256" x14ac:dyDescent="0.2">
      <c r="IU522" s="210" t="s">
        <v>769</v>
      </c>
      <c r="IV522" s="211" t="s">
        <v>2268</v>
      </c>
    </row>
    <row r="523" spans="255:256" x14ac:dyDescent="0.2">
      <c r="IU523" s="210" t="s">
        <v>770</v>
      </c>
      <c r="IV523" s="211" t="s">
        <v>2269</v>
      </c>
    </row>
    <row r="524" spans="255:256" x14ac:dyDescent="0.2">
      <c r="IU524" s="210" t="s">
        <v>771</v>
      </c>
      <c r="IV524" s="211" t="s">
        <v>2270</v>
      </c>
    </row>
    <row r="525" spans="255:256" x14ac:dyDescent="0.2">
      <c r="IU525" s="210" t="s">
        <v>772</v>
      </c>
      <c r="IV525" s="211" t="s">
        <v>2271</v>
      </c>
    </row>
    <row r="526" spans="255:256" x14ac:dyDescent="0.2">
      <c r="IU526" s="210" t="s">
        <v>773</v>
      </c>
      <c r="IV526" s="211" t="s">
        <v>2272</v>
      </c>
    </row>
    <row r="527" spans="255:256" x14ac:dyDescent="0.2">
      <c r="IU527" s="210" t="s">
        <v>774</v>
      </c>
      <c r="IV527" s="211" t="s">
        <v>2273</v>
      </c>
    </row>
    <row r="528" spans="255:256" x14ac:dyDescent="0.2">
      <c r="IU528" s="210" t="s">
        <v>775</v>
      </c>
      <c r="IV528" s="211" t="s">
        <v>2274</v>
      </c>
    </row>
    <row r="529" spans="255:256" x14ac:dyDescent="0.2">
      <c r="IU529" s="210" t="s">
        <v>776</v>
      </c>
      <c r="IV529" s="211" t="s">
        <v>2275</v>
      </c>
    </row>
    <row r="530" spans="255:256" x14ac:dyDescent="0.2">
      <c r="IU530" s="210" t="s">
        <v>777</v>
      </c>
      <c r="IV530" s="211" t="s">
        <v>2276</v>
      </c>
    </row>
    <row r="531" spans="255:256" x14ac:dyDescent="0.2">
      <c r="IU531" s="210" t="s">
        <v>778</v>
      </c>
      <c r="IV531" s="211" t="s">
        <v>2277</v>
      </c>
    </row>
    <row r="532" spans="255:256" x14ac:dyDescent="0.2">
      <c r="IU532" s="210" t="s">
        <v>779</v>
      </c>
      <c r="IV532" s="211" t="s">
        <v>2278</v>
      </c>
    </row>
    <row r="533" spans="255:256" x14ac:dyDescent="0.2">
      <c r="IU533" s="210" t="s">
        <v>780</v>
      </c>
      <c r="IV533" s="211" t="s">
        <v>2279</v>
      </c>
    </row>
    <row r="534" spans="255:256" x14ac:dyDescent="0.2">
      <c r="IU534" s="210" t="s">
        <v>781</v>
      </c>
      <c r="IV534" s="211" t="s">
        <v>2280</v>
      </c>
    </row>
    <row r="535" spans="255:256" x14ac:dyDescent="0.2">
      <c r="IU535" s="210" t="s">
        <v>782</v>
      </c>
      <c r="IV535" s="211" t="s">
        <v>2281</v>
      </c>
    </row>
    <row r="536" spans="255:256" x14ac:dyDescent="0.2">
      <c r="IU536" s="210" t="s">
        <v>783</v>
      </c>
      <c r="IV536" s="211" t="s">
        <v>2282</v>
      </c>
    </row>
    <row r="537" spans="255:256" x14ac:dyDescent="0.2">
      <c r="IU537" s="210" t="s">
        <v>784</v>
      </c>
      <c r="IV537" s="211" t="s">
        <v>2283</v>
      </c>
    </row>
    <row r="538" spans="255:256" x14ac:dyDescent="0.2">
      <c r="IU538" s="210" t="s">
        <v>785</v>
      </c>
      <c r="IV538" s="211" t="s">
        <v>2284</v>
      </c>
    </row>
    <row r="539" spans="255:256" x14ac:dyDescent="0.2">
      <c r="IU539" s="210" t="s">
        <v>786</v>
      </c>
      <c r="IV539" s="211" t="s">
        <v>2285</v>
      </c>
    </row>
    <row r="540" spans="255:256" x14ac:dyDescent="0.2">
      <c r="IU540" s="210" t="s">
        <v>787</v>
      </c>
      <c r="IV540" s="211" t="s">
        <v>2286</v>
      </c>
    </row>
    <row r="541" spans="255:256" x14ac:dyDescent="0.2">
      <c r="IU541" s="210" t="s">
        <v>788</v>
      </c>
      <c r="IV541" s="211" t="s">
        <v>2287</v>
      </c>
    </row>
    <row r="542" spans="255:256" x14ac:dyDescent="0.2">
      <c r="IU542" s="210" t="s">
        <v>789</v>
      </c>
      <c r="IV542" s="211" t="s">
        <v>2288</v>
      </c>
    </row>
    <row r="543" spans="255:256" x14ac:dyDescent="0.2">
      <c r="IU543" s="210" t="s">
        <v>790</v>
      </c>
      <c r="IV543" s="211" t="s">
        <v>2289</v>
      </c>
    </row>
    <row r="544" spans="255:256" x14ac:dyDescent="0.2">
      <c r="IU544" s="210" t="s">
        <v>791</v>
      </c>
      <c r="IV544" s="211" t="s">
        <v>2290</v>
      </c>
    </row>
    <row r="545" spans="255:256" x14ac:dyDescent="0.2">
      <c r="IU545" s="210" t="s">
        <v>792</v>
      </c>
      <c r="IV545" s="211" t="s">
        <v>2291</v>
      </c>
    </row>
    <row r="546" spans="255:256" x14ac:dyDescent="0.2">
      <c r="IU546" s="210" t="s">
        <v>793</v>
      </c>
      <c r="IV546" s="211" t="s">
        <v>2292</v>
      </c>
    </row>
    <row r="547" spans="255:256" x14ac:dyDescent="0.2">
      <c r="IU547" s="210" t="s">
        <v>794</v>
      </c>
      <c r="IV547" s="211" t="s">
        <v>2293</v>
      </c>
    </row>
    <row r="548" spans="255:256" x14ac:dyDescent="0.2">
      <c r="IU548" s="210" t="s">
        <v>795</v>
      </c>
      <c r="IV548" s="211" t="s">
        <v>2294</v>
      </c>
    </row>
    <row r="549" spans="255:256" x14ac:dyDescent="0.2">
      <c r="IU549" s="210" t="s">
        <v>796</v>
      </c>
      <c r="IV549" s="211" t="s">
        <v>2295</v>
      </c>
    </row>
    <row r="550" spans="255:256" x14ac:dyDescent="0.2">
      <c r="IU550" s="210" t="s">
        <v>797</v>
      </c>
      <c r="IV550" s="211" t="s">
        <v>2296</v>
      </c>
    </row>
    <row r="551" spans="255:256" x14ac:dyDescent="0.2">
      <c r="IU551" s="210" t="s">
        <v>798</v>
      </c>
      <c r="IV551" s="211" t="s">
        <v>2297</v>
      </c>
    </row>
    <row r="552" spans="255:256" x14ac:dyDescent="0.2">
      <c r="IU552" s="210" t="s">
        <v>799</v>
      </c>
      <c r="IV552" s="211" t="s">
        <v>2298</v>
      </c>
    </row>
    <row r="553" spans="255:256" x14ac:dyDescent="0.2">
      <c r="IU553" s="210" t="s">
        <v>800</v>
      </c>
      <c r="IV553" s="211" t="s">
        <v>2299</v>
      </c>
    </row>
    <row r="554" spans="255:256" x14ac:dyDescent="0.2">
      <c r="IU554" s="210" t="s">
        <v>801</v>
      </c>
      <c r="IV554" s="211" t="s">
        <v>2300</v>
      </c>
    </row>
    <row r="555" spans="255:256" x14ac:dyDescent="0.2">
      <c r="IU555" s="210" t="s">
        <v>802</v>
      </c>
      <c r="IV555" s="211" t="s">
        <v>2301</v>
      </c>
    </row>
    <row r="556" spans="255:256" x14ac:dyDescent="0.2">
      <c r="IU556" s="210" t="s">
        <v>803</v>
      </c>
      <c r="IV556" s="211" t="s">
        <v>2302</v>
      </c>
    </row>
    <row r="557" spans="255:256" x14ac:dyDescent="0.2">
      <c r="IU557" s="210" t="s">
        <v>804</v>
      </c>
      <c r="IV557" s="211" t="s">
        <v>2303</v>
      </c>
    </row>
    <row r="558" spans="255:256" x14ac:dyDescent="0.2">
      <c r="IU558" s="210" t="s">
        <v>805</v>
      </c>
      <c r="IV558" s="211" t="s">
        <v>2304</v>
      </c>
    </row>
    <row r="559" spans="255:256" x14ac:dyDescent="0.2">
      <c r="IU559" s="210" t="s">
        <v>806</v>
      </c>
      <c r="IV559" s="211" t="s">
        <v>2305</v>
      </c>
    </row>
    <row r="560" spans="255:256" x14ac:dyDescent="0.2">
      <c r="IU560" s="210" t="s">
        <v>807</v>
      </c>
      <c r="IV560" s="211" t="s">
        <v>2306</v>
      </c>
    </row>
    <row r="561" spans="255:256" x14ac:dyDescent="0.2">
      <c r="IU561" s="210" t="s">
        <v>808</v>
      </c>
      <c r="IV561" s="211" t="s">
        <v>2307</v>
      </c>
    </row>
    <row r="562" spans="255:256" x14ac:dyDescent="0.2">
      <c r="IU562" s="210" t="s">
        <v>809</v>
      </c>
      <c r="IV562" s="211" t="s">
        <v>2308</v>
      </c>
    </row>
    <row r="563" spans="255:256" x14ac:dyDescent="0.2">
      <c r="IU563" s="210" t="s">
        <v>810</v>
      </c>
      <c r="IV563" s="211" t="s">
        <v>2309</v>
      </c>
    </row>
    <row r="564" spans="255:256" x14ac:dyDescent="0.2">
      <c r="IU564" s="210" t="s">
        <v>811</v>
      </c>
      <c r="IV564" s="211" t="s">
        <v>2310</v>
      </c>
    </row>
    <row r="565" spans="255:256" x14ac:dyDescent="0.2">
      <c r="IU565" s="210" t="s">
        <v>812</v>
      </c>
      <c r="IV565" s="211" t="s">
        <v>2311</v>
      </c>
    </row>
    <row r="566" spans="255:256" x14ac:dyDescent="0.2">
      <c r="IU566" s="210" t="s">
        <v>813</v>
      </c>
      <c r="IV566" s="211" t="s">
        <v>2312</v>
      </c>
    </row>
    <row r="567" spans="255:256" x14ac:dyDescent="0.2">
      <c r="IU567" s="210" t="s">
        <v>814</v>
      </c>
      <c r="IV567" s="211" t="s">
        <v>1986</v>
      </c>
    </row>
    <row r="568" spans="255:256" x14ac:dyDescent="0.2">
      <c r="IU568" s="210" t="s">
        <v>815</v>
      </c>
      <c r="IV568" s="211" t="s">
        <v>2313</v>
      </c>
    </row>
    <row r="569" spans="255:256" x14ac:dyDescent="0.2">
      <c r="IU569" s="210" t="s">
        <v>816</v>
      </c>
      <c r="IV569" s="211" t="s">
        <v>2314</v>
      </c>
    </row>
    <row r="570" spans="255:256" x14ac:dyDescent="0.2">
      <c r="IU570" s="210" t="s">
        <v>817</v>
      </c>
      <c r="IV570" s="211" t="s">
        <v>2315</v>
      </c>
    </row>
    <row r="571" spans="255:256" x14ac:dyDescent="0.2">
      <c r="IU571" s="210" t="s">
        <v>818</v>
      </c>
      <c r="IV571" s="211" t="s">
        <v>2316</v>
      </c>
    </row>
    <row r="572" spans="255:256" x14ac:dyDescent="0.2">
      <c r="IU572" s="210" t="s">
        <v>819</v>
      </c>
      <c r="IV572" s="211" t="s">
        <v>2317</v>
      </c>
    </row>
    <row r="573" spans="255:256" x14ac:dyDescent="0.2">
      <c r="IU573" s="210" t="s">
        <v>820</v>
      </c>
      <c r="IV573" s="211" t="s">
        <v>2318</v>
      </c>
    </row>
    <row r="574" spans="255:256" x14ac:dyDescent="0.2">
      <c r="IU574" s="210" t="s">
        <v>821</v>
      </c>
      <c r="IV574" s="211" t="s">
        <v>2319</v>
      </c>
    </row>
    <row r="575" spans="255:256" x14ac:dyDescent="0.2">
      <c r="IU575" s="210" t="s">
        <v>822</v>
      </c>
      <c r="IV575" s="211" t="s">
        <v>2320</v>
      </c>
    </row>
    <row r="576" spans="255:256" x14ac:dyDescent="0.2">
      <c r="IU576" s="210" t="s">
        <v>823</v>
      </c>
      <c r="IV576" s="211" t="s">
        <v>2321</v>
      </c>
    </row>
    <row r="577" spans="255:256" x14ac:dyDescent="0.2">
      <c r="IU577" s="210" t="s">
        <v>824</v>
      </c>
      <c r="IV577" s="211" t="s">
        <v>2322</v>
      </c>
    </row>
    <row r="578" spans="255:256" x14ac:dyDescent="0.2">
      <c r="IU578" s="210" t="s">
        <v>825</v>
      </c>
      <c r="IV578" s="211" t="s">
        <v>2323</v>
      </c>
    </row>
    <row r="579" spans="255:256" x14ac:dyDescent="0.2">
      <c r="IU579" s="210" t="s">
        <v>826</v>
      </c>
      <c r="IV579" s="211" t="s">
        <v>2324</v>
      </c>
    </row>
    <row r="580" spans="255:256" x14ac:dyDescent="0.2">
      <c r="IU580" s="210" t="s">
        <v>827</v>
      </c>
      <c r="IV580" s="211" t="s">
        <v>2325</v>
      </c>
    </row>
    <row r="581" spans="255:256" x14ac:dyDescent="0.2">
      <c r="IU581" s="210" t="s">
        <v>828</v>
      </c>
      <c r="IV581" s="211" t="s">
        <v>2286</v>
      </c>
    </row>
    <row r="582" spans="255:256" x14ac:dyDescent="0.2">
      <c r="IU582" s="210" t="s">
        <v>829</v>
      </c>
      <c r="IV582" s="211" t="s">
        <v>2326</v>
      </c>
    </row>
    <row r="583" spans="255:256" x14ac:dyDescent="0.2">
      <c r="IU583" s="210" t="s">
        <v>830</v>
      </c>
      <c r="IV583" s="211" t="s">
        <v>2327</v>
      </c>
    </row>
    <row r="584" spans="255:256" x14ac:dyDescent="0.2">
      <c r="IU584" s="210" t="s">
        <v>831</v>
      </c>
      <c r="IV584" s="211" t="s">
        <v>2328</v>
      </c>
    </row>
    <row r="585" spans="255:256" x14ac:dyDescent="0.2">
      <c r="IU585" s="210" t="s">
        <v>832</v>
      </c>
      <c r="IV585" s="211" t="s">
        <v>2329</v>
      </c>
    </row>
    <row r="586" spans="255:256" x14ac:dyDescent="0.2">
      <c r="IU586" s="210" t="s">
        <v>833</v>
      </c>
      <c r="IV586" s="211" t="s">
        <v>2330</v>
      </c>
    </row>
    <row r="587" spans="255:256" x14ac:dyDescent="0.2">
      <c r="IU587" s="210" t="s">
        <v>834</v>
      </c>
      <c r="IV587" s="211" t="s">
        <v>2331</v>
      </c>
    </row>
    <row r="588" spans="255:256" x14ac:dyDescent="0.2">
      <c r="IU588" s="210" t="s">
        <v>835</v>
      </c>
      <c r="IV588" s="211" t="s">
        <v>2332</v>
      </c>
    </row>
    <row r="589" spans="255:256" x14ac:dyDescent="0.2">
      <c r="IU589" s="210" t="s">
        <v>836</v>
      </c>
      <c r="IV589" s="211" t="s">
        <v>2333</v>
      </c>
    </row>
    <row r="590" spans="255:256" x14ac:dyDescent="0.2">
      <c r="IU590" s="210" t="s">
        <v>837</v>
      </c>
      <c r="IV590" s="211" t="s">
        <v>2334</v>
      </c>
    </row>
    <row r="591" spans="255:256" x14ac:dyDescent="0.2">
      <c r="IU591" s="210" t="s">
        <v>838</v>
      </c>
      <c r="IV591" s="211" t="s">
        <v>2335</v>
      </c>
    </row>
    <row r="592" spans="255:256" x14ac:dyDescent="0.2">
      <c r="IU592" s="210" t="s">
        <v>839</v>
      </c>
      <c r="IV592" s="211" t="s">
        <v>2336</v>
      </c>
    </row>
    <row r="593" spans="255:256" x14ac:dyDescent="0.2">
      <c r="IU593" s="210" t="s">
        <v>840</v>
      </c>
      <c r="IV593" s="211" t="s">
        <v>2337</v>
      </c>
    </row>
    <row r="594" spans="255:256" x14ac:dyDescent="0.2">
      <c r="IU594" s="210" t="s">
        <v>841</v>
      </c>
      <c r="IV594" s="211" t="s">
        <v>2338</v>
      </c>
    </row>
    <row r="595" spans="255:256" x14ac:dyDescent="0.2">
      <c r="IU595" s="210" t="s">
        <v>842</v>
      </c>
      <c r="IV595" s="211" t="s">
        <v>2339</v>
      </c>
    </row>
    <row r="596" spans="255:256" x14ac:dyDescent="0.2">
      <c r="IU596" s="210" t="s">
        <v>843</v>
      </c>
      <c r="IV596" s="211" t="s">
        <v>2340</v>
      </c>
    </row>
    <row r="597" spans="255:256" x14ac:dyDescent="0.2">
      <c r="IU597" s="210" t="s">
        <v>844</v>
      </c>
      <c r="IV597" s="211" t="s">
        <v>2341</v>
      </c>
    </row>
    <row r="598" spans="255:256" x14ac:dyDescent="0.2">
      <c r="IU598" s="210" t="s">
        <v>845</v>
      </c>
      <c r="IV598" s="211" t="s">
        <v>2342</v>
      </c>
    </row>
    <row r="599" spans="255:256" x14ac:dyDescent="0.2">
      <c r="IU599" s="210" t="s">
        <v>846</v>
      </c>
      <c r="IV599" s="211" t="s">
        <v>2343</v>
      </c>
    </row>
    <row r="600" spans="255:256" x14ac:dyDescent="0.2">
      <c r="IU600" s="210" t="s">
        <v>847</v>
      </c>
      <c r="IV600" s="211" t="s">
        <v>2344</v>
      </c>
    </row>
    <row r="601" spans="255:256" x14ac:dyDescent="0.2">
      <c r="IU601" s="210" t="s">
        <v>848</v>
      </c>
      <c r="IV601" s="211" t="s">
        <v>2345</v>
      </c>
    </row>
    <row r="602" spans="255:256" x14ac:dyDescent="0.2">
      <c r="IU602" s="210" t="s">
        <v>849</v>
      </c>
      <c r="IV602" s="211" t="s">
        <v>1986</v>
      </c>
    </row>
    <row r="603" spans="255:256" x14ac:dyDescent="0.2">
      <c r="IU603" s="210" t="s">
        <v>850</v>
      </c>
      <c r="IV603" s="211" t="s">
        <v>2346</v>
      </c>
    </row>
    <row r="604" spans="255:256" x14ac:dyDescent="0.2">
      <c r="IU604" s="210" t="s">
        <v>851</v>
      </c>
      <c r="IV604" s="211" t="s">
        <v>2347</v>
      </c>
    </row>
    <row r="605" spans="255:256" x14ac:dyDescent="0.2">
      <c r="IU605" s="210" t="s">
        <v>852</v>
      </c>
      <c r="IV605" s="211" t="s">
        <v>853</v>
      </c>
    </row>
    <row r="606" spans="255:256" x14ac:dyDescent="0.2">
      <c r="IU606" s="210" t="s">
        <v>854</v>
      </c>
      <c r="IV606" s="211" t="s">
        <v>2030</v>
      </c>
    </row>
    <row r="607" spans="255:256" x14ac:dyDescent="0.2">
      <c r="IU607" s="210" t="s">
        <v>855</v>
      </c>
      <c r="IV607" s="211" t="s">
        <v>2348</v>
      </c>
    </row>
    <row r="608" spans="255:256" x14ac:dyDescent="0.2">
      <c r="IU608" s="210" t="s">
        <v>856</v>
      </c>
      <c r="IV608" s="211" t="s">
        <v>2349</v>
      </c>
    </row>
    <row r="609" spans="255:256" x14ac:dyDescent="0.2">
      <c r="IU609" s="210" t="s">
        <v>857</v>
      </c>
      <c r="IV609" s="211" t="s">
        <v>2350</v>
      </c>
    </row>
    <row r="610" spans="255:256" x14ac:dyDescent="0.2">
      <c r="IU610" s="210" t="s">
        <v>858</v>
      </c>
      <c r="IV610" s="211" t="s">
        <v>2351</v>
      </c>
    </row>
    <row r="611" spans="255:256" x14ac:dyDescent="0.2">
      <c r="IU611" s="210" t="s">
        <v>859</v>
      </c>
      <c r="IV611" s="211" t="s">
        <v>2352</v>
      </c>
    </row>
    <row r="612" spans="255:256" x14ac:dyDescent="0.2">
      <c r="IU612" s="210" t="s">
        <v>860</v>
      </c>
      <c r="IV612" s="211" t="s">
        <v>2353</v>
      </c>
    </row>
    <row r="613" spans="255:256" x14ac:dyDescent="0.2">
      <c r="IU613" s="210" t="s">
        <v>861</v>
      </c>
      <c r="IV613" s="211" t="s">
        <v>1970</v>
      </c>
    </row>
    <row r="614" spans="255:256" x14ac:dyDescent="0.2">
      <c r="IU614" s="210" t="s">
        <v>862</v>
      </c>
      <c r="IV614" s="211" t="s">
        <v>2354</v>
      </c>
    </row>
    <row r="615" spans="255:256" x14ac:dyDescent="0.2">
      <c r="IU615" s="210" t="s">
        <v>863</v>
      </c>
      <c r="IV615" s="211" t="s">
        <v>2355</v>
      </c>
    </row>
    <row r="616" spans="255:256" x14ac:dyDescent="0.2">
      <c r="IU616" s="210" t="s">
        <v>864</v>
      </c>
      <c r="IV616" s="211" t="s">
        <v>2356</v>
      </c>
    </row>
    <row r="617" spans="255:256" x14ac:dyDescent="0.2">
      <c r="IU617" s="210" t="s">
        <v>865</v>
      </c>
      <c r="IV617" s="211" t="s">
        <v>2357</v>
      </c>
    </row>
    <row r="618" spans="255:256" x14ac:dyDescent="0.2">
      <c r="IU618" s="210" t="s">
        <v>866</v>
      </c>
      <c r="IV618" s="211" t="s">
        <v>2358</v>
      </c>
    </row>
    <row r="619" spans="255:256" x14ac:dyDescent="0.2">
      <c r="IU619" s="210" t="s">
        <v>867</v>
      </c>
      <c r="IV619" s="211" t="s">
        <v>2359</v>
      </c>
    </row>
    <row r="620" spans="255:256" x14ac:dyDescent="0.2">
      <c r="IU620" s="210" t="s">
        <v>868</v>
      </c>
      <c r="IV620" s="211" t="s">
        <v>2298</v>
      </c>
    </row>
    <row r="621" spans="255:256" x14ac:dyDescent="0.2">
      <c r="IU621" s="210" t="s">
        <v>869</v>
      </c>
      <c r="IV621" s="211" t="s">
        <v>2360</v>
      </c>
    </row>
    <row r="622" spans="255:256" x14ac:dyDescent="0.2">
      <c r="IU622" s="210" t="s">
        <v>870</v>
      </c>
      <c r="IV622" s="211" t="s">
        <v>2236</v>
      </c>
    </row>
    <row r="623" spans="255:256" x14ac:dyDescent="0.2">
      <c r="IU623" s="210" t="s">
        <v>871</v>
      </c>
      <c r="IV623" s="211" t="s">
        <v>2288</v>
      </c>
    </row>
    <row r="624" spans="255:256" x14ac:dyDescent="0.2">
      <c r="IU624" s="210" t="s">
        <v>872</v>
      </c>
      <c r="IV624" s="211" t="s">
        <v>2361</v>
      </c>
    </row>
    <row r="625" spans="255:256" x14ac:dyDescent="0.2">
      <c r="IU625" s="210" t="s">
        <v>873</v>
      </c>
      <c r="IV625" s="211" t="s">
        <v>2362</v>
      </c>
    </row>
    <row r="626" spans="255:256" x14ac:dyDescent="0.2">
      <c r="IU626" s="210" t="s">
        <v>874</v>
      </c>
      <c r="IV626" s="211" t="s">
        <v>2080</v>
      </c>
    </row>
    <row r="627" spans="255:256" x14ac:dyDescent="0.2">
      <c r="IU627" s="210" t="s">
        <v>875</v>
      </c>
      <c r="IV627" s="211" t="s">
        <v>2363</v>
      </c>
    </row>
    <row r="628" spans="255:256" x14ac:dyDescent="0.2">
      <c r="IU628" s="210" t="s">
        <v>876</v>
      </c>
      <c r="IV628" s="211" t="s">
        <v>2364</v>
      </c>
    </row>
    <row r="629" spans="255:256" x14ac:dyDescent="0.2">
      <c r="IU629" s="210" t="s">
        <v>877</v>
      </c>
      <c r="IV629" s="211" t="s">
        <v>2365</v>
      </c>
    </row>
    <row r="630" spans="255:256" x14ac:dyDescent="0.2">
      <c r="IU630" s="210" t="s">
        <v>878</v>
      </c>
      <c r="IV630" s="211" t="s">
        <v>2366</v>
      </c>
    </row>
    <row r="631" spans="255:256" x14ac:dyDescent="0.2">
      <c r="IU631" s="210" t="s">
        <v>879</v>
      </c>
      <c r="IV631" s="211" t="s">
        <v>2367</v>
      </c>
    </row>
    <row r="632" spans="255:256" x14ac:dyDescent="0.2">
      <c r="IU632" s="210" t="s">
        <v>880</v>
      </c>
      <c r="IV632" s="211" t="s">
        <v>2368</v>
      </c>
    </row>
    <row r="633" spans="255:256" x14ac:dyDescent="0.2">
      <c r="IU633" s="210" t="s">
        <v>881</v>
      </c>
      <c r="IV633" s="211" t="s">
        <v>2369</v>
      </c>
    </row>
    <row r="634" spans="255:256" x14ac:dyDescent="0.2">
      <c r="IU634" s="210" t="s">
        <v>882</v>
      </c>
      <c r="IV634" s="211" t="s">
        <v>2370</v>
      </c>
    </row>
    <row r="635" spans="255:256" x14ac:dyDescent="0.2">
      <c r="IU635" s="210" t="s">
        <v>883</v>
      </c>
      <c r="IV635" s="211" t="s">
        <v>2371</v>
      </c>
    </row>
    <row r="636" spans="255:256" x14ac:dyDescent="0.2">
      <c r="IU636" s="210" t="s">
        <v>884</v>
      </c>
      <c r="IV636" s="211" t="s">
        <v>2372</v>
      </c>
    </row>
    <row r="637" spans="255:256" x14ac:dyDescent="0.2">
      <c r="IU637" s="210" t="s">
        <v>885</v>
      </c>
      <c r="IV637" s="211" t="s">
        <v>2373</v>
      </c>
    </row>
    <row r="638" spans="255:256" x14ac:dyDescent="0.2">
      <c r="IU638" s="210" t="s">
        <v>886</v>
      </c>
      <c r="IV638" s="211" t="s">
        <v>2374</v>
      </c>
    </row>
    <row r="639" spans="255:256" x14ac:dyDescent="0.2">
      <c r="IU639" s="210" t="s">
        <v>887</v>
      </c>
      <c r="IV639" s="211" t="s">
        <v>2375</v>
      </c>
    </row>
    <row r="640" spans="255:256" x14ac:dyDescent="0.2">
      <c r="IU640" s="210" t="s">
        <v>888</v>
      </c>
      <c r="IV640" s="211" t="s">
        <v>2376</v>
      </c>
    </row>
    <row r="641" spans="255:256" x14ac:dyDescent="0.2">
      <c r="IU641" s="210" t="s">
        <v>889</v>
      </c>
      <c r="IV641" s="211" t="s">
        <v>2377</v>
      </c>
    </row>
    <row r="642" spans="255:256" x14ac:dyDescent="0.2">
      <c r="IU642" s="210" t="s">
        <v>890</v>
      </c>
      <c r="IV642" s="211" t="s">
        <v>1997</v>
      </c>
    </row>
    <row r="643" spans="255:256" x14ac:dyDescent="0.2">
      <c r="IU643" s="210" t="s">
        <v>891</v>
      </c>
      <c r="IV643" s="211" t="s">
        <v>2378</v>
      </c>
    </row>
    <row r="644" spans="255:256" x14ac:dyDescent="0.2">
      <c r="IU644" s="210" t="s">
        <v>892</v>
      </c>
      <c r="IV644" s="211" t="s">
        <v>2379</v>
      </c>
    </row>
    <row r="645" spans="255:256" x14ac:dyDescent="0.2">
      <c r="IU645" s="210" t="s">
        <v>893</v>
      </c>
      <c r="IV645" s="211" t="s">
        <v>2380</v>
      </c>
    </row>
    <row r="646" spans="255:256" x14ac:dyDescent="0.2">
      <c r="IU646" s="210" t="s">
        <v>894</v>
      </c>
      <c r="IV646" s="211" t="s">
        <v>2381</v>
      </c>
    </row>
    <row r="647" spans="255:256" x14ac:dyDescent="0.2">
      <c r="IU647" s="210" t="s">
        <v>895</v>
      </c>
      <c r="IV647" s="211" t="s">
        <v>2382</v>
      </c>
    </row>
    <row r="648" spans="255:256" x14ac:dyDescent="0.2">
      <c r="IU648" s="210" t="s">
        <v>896</v>
      </c>
      <c r="IV648" s="211" t="s">
        <v>2383</v>
      </c>
    </row>
    <row r="649" spans="255:256" x14ac:dyDescent="0.2">
      <c r="IU649" s="210" t="s">
        <v>897</v>
      </c>
      <c r="IV649" s="211" t="s">
        <v>2384</v>
      </c>
    </row>
    <row r="650" spans="255:256" x14ac:dyDescent="0.2">
      <c r="IU650" s="210" t="s">
        <v>898</v>
      </c>
      <c r="IV650" s="211" t="s">
        <v>2385</v>
      </c>
    </row>
    <row r="651" spans="255:256" x14ac:dyDescent="0.2">
      <c r="IU651" s="210" t="s">
        <v>899</v>
      </c>
      <c r="IV651" s="211" t="s">
        <v>2386</v>
      </c>
    </row>
    <row r="652" spans="255:256" x14ac:dyDescent="0.2">
      <c r="IU652" s="210" t="s">
        <v>900</v>
      </c>
      <c r="IV652" s="211" t="s">
        <v>2387</v>
      </c>
    </row>
    <row r="653" spans="255:256" x14ac:dyDescent="0.2">
      <c r="IU653" s="210" t="s">
        <v>901</v>
      </c>
      <c r="IV653" s="211" t="s">
        <v>2388</v>
      </c>
    </row>
    <row r="654" spans="255:256" x14ac:dyDescent="0.2">
      <c r="IU654" s="210" t="s">
        <v>902</v>
      </c>
      <c r="IV654" s="211" t="s">
        <v>2389</v>
      </c>
    </row>
    <row r="655" spans="255:256" x14ac:dyDescent="0.2">
      <c r="IU655" s="210" t="s">
        <v>903</v>
      </c>
      <c r="IV655" s="211" t="s">
        <v>2390</v>
      </c>
    </row>
    <row r="656" spans="255:256" x14ac:dyDescent="0.2">
      <c r="IU656" s="210" t="s">
        <v>904</v>
      </c>
      <c r="IV656" s="211" t="s">
        <v>2391</v>
      </c>
    </row>
    <row r="657" spans="255:256" x14ac:dyDescent="0.2">
      <c r="IU657" s="210" t="s">
        <v>905</v>
      </c>
      <c r="IV657" s="211" t="s">
        <v>2392</v>
      </c>
    </row>
    <row r="658" spans="255:256" x14ac:dyDescent="0.2">
      <c r="IU658" s="210" t="s">
        <v>906</v>
      </c>
      <c r="IV658" s="211" t="s">
        <v>2393</v>
      </c>
    </row>
    <row r="659" spans="255:256" x14ac:dyDescent="0.2">
      <c r="IU659" s="210" t="s">
        <v>907</v>
      </c>
      <c r="IV659" s="211" t="s">
        <v>2394</v>
      </c>
    </row>
    <row r="660" spans="255:256" x14ac:dyDescent="0.2">
      <c r="IU660" s="210" t="s">
        <v>908</v>
      </c>
      <c r="IV660" s="211" t="s">
        <v>1992</v>
      </c>
    </row>
    <row r="661" spans="255:256" x14ac:dyDescent="0.2">
      <c r="IU661" s="210" t="s">
        <v>909</v>
      </c>
      <c r="IV661" s="211" t="s">
        <v>2212</v>
      </c>
    </row>
    <row r="662" spans="255:256" x14ac:dyDescent="0.2">
      <c r="IU662" s="210" t="s">
        <v>910</v>
      </c>
      <c r="IV662" s="211" t="s">
        <v>2395</v>
      </c>
    </row>
    <row r="663" spans="255:256" x14ac:dyDescent="0.2">
      <c r="IU663" s="210" t="s">
        <v>911</v>
      </c>
      <c r="IV663" s="211" t="s">
        <v>2396</v>
      </c>
    </row>
    <row r="664" spans="255:256" x14ac:dyDescent="0.2">
      <c r="IU664" s="210" t="s">
        <v>912</v>
      </c>
      <c r="IV664" s="211" t="s">
        <v>2397</v>
      </c>
    </row>
    <row r="665" spans="255:256" x14ac:dyDescent="0.2">
      <c r="IU665" s="210" t="s">
        <v>913</v>
      </c>
      <c r="IV665" s="211" t="s">
        <v>2398</v>
      </c>
    </row>
    <row r="666" spans="255:256" x14ac:dyDescent="0.2">
      <c r="IU666" s="210" t="s">
        <v>914</v>
      </c>
      <c r="IV666" s="211" t="s">
        <v>2399</v>
      </c>
    </row>
    <row r="667" spans="255:256" x14ac:dyDescent="0.2">
      <c r="IU667" s="210" t="s">
        <v>915</v>
      </c>
      <c r="IV667" s="211" t="s">
        <v>2400</v>
      </c>
    </row>
    <row r="668" spans="255:256" x14ac:dyDescent="0.2">
      <c r="IU668" s="210" t="s">
        <v>916</v>
      </c>
      <c r="IV668" s="211" t="s">
        <v>2401</v>
      </c>
    </row>
    <row r="669" spans="255:256" x14ac:dyDescent="0.2">
      <c r="IU669" s="210" t="s">
        <v>917</v>
      </c>
      <c r="IV669" s="211" t="s">
        <v>2286</v>
      </c>
    </row>
    <row r="670" spans="255:256" x14ac:dyDescent="0.2">
      <c r="IU670" s="210" t="s">
        <v>918</v>
      </c>
      <c r="IV670" s="211" t="s">
        <v>2402</v>
      </c>
    </row>
    <row r="671" spans="255:256" x14ac:dyDescent="0.2">
      <c r="IU671" s="210" t="s">
        <v>1744</v>
      </c>
      <c r="IV671" s="211" t="s">
        <v>2403</v>
      </c>
    </row>
    <row r="672" spans="255:256" x14ac:dyDescent="0.2">
      <c r="IU672" s="210" t="s">
        <v>919</v>
      </c>
      <c r="IV672" s="211" t="s">
        <v>2404</v>
      </c>
    </row>
    <row r="673" spans="255:256" x14ac:dyDescent="0.2">
      <c r="IU673" s="210" t="s">
        <v>920</v>
      </c>
      <c r="IV673" s="211" t="s">
        <v>2405</v>
      </c>
    </row>
    <row r="674" spans="255:256" x14ac:dyDescent="0.2">
      <c r="IU674" s="210" t="s">
        <v>921</v>
      </c>
      <c r="IV674" s="211" t="s">
        <v>2406</v>
      </c>
    </row>
    <row r="675" spans="255:256" x14ac:dyDescent="0.2">
      <c r="IU675" s="210" t="s">
        <v>922</v>
      </c>
      <c r="IV675" s="211" t="s">
        <v>2407</v>
      </c>
    </row>
    <row r="676" spans="255:256" x14ac:dyDescent="0.2">
      <c r="IU676" s="210" t="s">
        <v>923</v>
      </c>
      <c r="IV676" s="211" t="s">
        <v>2408</v>
      </c>
    </row>
    <row r="677" spans="255:256" x14ac:dyDescent="0.2">
      <c r="IU677" s="210" t="s">
        <v>924</v>
      </c>
      <c r="IV677" s="211" t="s">
        <v>2409</v>
      </c>
    </row>
    <row r="678" spans="255:256" x14ac:dyDescent="0.2">
      <c r="IU678" s="210" t="s">
        <v>925</v>
      </c>
      <c r="IV678" s="211" t="s">
        <v>2410</v>
      </c>
    </row>
    <row r="679" spans="255:256" x14ac:dyDescent="0.2">
      <c r="IU679" s="210" t="s">
        <v>926</v>
      </c>
      <c r="IV679" s="211" t="s">
        <v>2411</v>
      </c>
    </row>
    <row r="680" spans="255:256" x14ac:dyDescent="0.2">
      <c r="IU680" s="210" t="s">
        <v>927</v>
      </c>
      <c r="IV680" s="211" t="s">
        <v>2412</v>
      </c>
    </row>
    <row r="681" spans="255:256" x14ac:dyDescent="0.2">
      <c r="IU681" s="210" t="s">
        <v>928</v>
      </c>
      <c r="IV681" s="211" t="s">
        <v>2413</v>
      </c>
    </row>
    <row r="682" spans="255:256" x14ac:dyDescent="0.2">
      <c r="IU682" s="210" t="s">
        <v>929</v>
      </c>
      <c r="IV682" s="211" t="s">
        <v>2414</v>
      </c>
    </row>
    <row r="683" spans="255:256" x14ac:dyDescent="0.2">
      <c r="IU683" s="210" t="s">
        <v>930</v>
      </c>
      <c r="IV683" s="211" t="s">
        <v>2415</v>
      </c>
    </row>
    <row r="684" spans="255:256" x14ac:dyDescent="0.2">
      <c r="IU684" s="210" t="s">
        <v>931</v>
      </c>
      <c r="IV684" s="211" t="s">
        <v>2416</v>
      </c>
    </row>
    <row r="685" spans="255:256" x14ac:dyDescent="0.2">
      <c r="IU685" s="210" t="s">
        <v>932</v>
      </c>
      <c r="IV685" s="211" t="s">
        <v>2417</v>
      </c>
    </row>
    <row r="686" spans="255:256" x14ac:dyDescent="0.2">
      <c r="IU686" s="210" t="s">
        <v>933</v>
      </c>
      <c r="IV686" s="211" t="s">
        <v>2418</v>
      </c>
    </row>
    <row r="687" spans="255:256" x14ac:dyDescent="0.2">
      <c r="IU687" s="210" t="s">
        <v>934</v>
      </c>
      <c r="IV687" s="211" t="s">
        <v>2419</v>
      </c>
    </row>
    <row r="688" spans="255:256" x14ac:dyDescent="0.2">
      <c r="IU688" s="210" t="s">
        <v>935</v>
      </c>
      <c r="IV688" s="211" t="s">
        <v>2420</v>
      </c>
    </row>
    <row r="689" spans="255:256" x14ac:dyDescent="0.2">
      <c r="IU689" s="210" t="s">
        <v>936</v>
      </c>
      <c r="IV689" s="211" t="s">
        <v>2421</v>
      </c>
    </row>
    <row r="690" spans="255:256" x14ac:dyDescent="0.2">
      <c r="IU690" s="210" t="s">
        <v>937</v>
      </c>
      <c r="IV690" s="211" t="s">
        <v>2422</v>
      </c>
    </row>
    <row r="691" spans="255:256" x14ac:dyDescent="0.2">
      <c r="IU691" s="210" t="s">
        <v>938</v>
      </c>
      <c r="IV691" s="211" t="s">
        <v>1964</v>
      </c>
    </row>
    <row r="692" spans="255:256" x14ac:dyDescent="0.2">
      <c r="IU692" s="210" t="s">
        <v>939</v>
      </c>
      <c r="IV692" s="211" t="s">
        <v>2423</v>
      </c>
    </row>
    <row r="693" spans="255:256" x14ac:dyDescent="0.2">
      <c r="IU693" s="210" t="s">
        <v>940</v>
      </c>
      <c r="IV693" s="211" t="s">
        <v>2424</v>
      </c>
    </row>
    <row r="694" spans="255:256" x14ac:dyDescent="0.2">
      <c r="IU694" s="210" t="s">
        <v>941</v>
      </c>
      <c r="IV694" s="211" t="s">
        <v>2425</v>
      </c>
    </row>
    <row r="695" spans="255:256" x14ac:dyDescent="0.2">
      <c r="IU695" s="210" t="s">
        <v>942</v>
      </c>
      <c r="IV695" s="211" t="s">
        <v>2426</v>
      </c>
    </row>
    <row r="696" spans="255:256" x14ac:dyDescent="0.2">
      <c r="IU696" s="210" t="s">
        <v>943</v>
      </c>
      <c r="IV696" s="211" t="s">
        <v>2427</v>
      </c>
    </row>
    <row r="697" spans="255:256" x14ac:dyDescent="0.2">
      <c r="IU697" s="210" t="s">
        <v>944</v>
      </c>
      <c r="IV697" s="211" t="s">
        <v>2428</v>
      </c>
    </row>
    <row r="698" spans="255:256" x14ac:dyDescent="0.2">
      <c r="IU698" s="210" t="s">
        <v>945</v>
      </c>
      <c r="IV698" s="211" t="s">
        <v>2429</v>
      </c>
    </row>
    <row r="699" spans="255:256" x14ac:dyDescent="0.2">
      <c r="IU699" s="210" t="s">
        <v>946</v>
      </c>
      <c r="IV699" s="211" t="s">
        <v>2430</v>
      </c>
    </row>
    <row r="700" spans="255:256" x14ac:dyDescent="0.2">
      <c r="IU700" s="210" t="s">
        <v>947</v>
      </c>
      <c r="IV700" s="211" t="s">
        <v>2431</v>
      </c>
    </row>
    <row r="701" spans="255:256" x14ac:dyDescent="0.2">
      <c r="IU701" s="210" t="s">
        <v>948</v>
      </c>
      <c r="IV701" s="211" t="s">
        <v>2432</v>
      </c>
    </row>
    <row r="702" spans="255:256" x14ac:dyDescent="0.2">
      <c r="IU702" s="210" t="s">
        <v>949</v>
      </c>
      <c r="IV702" s="211" t="s">
        <v>2433</v>
      </c>
    </row>
    <row r="703" spans="255:256" x14ac:dyDescent="0.2">
      <c r="IU703" s="210" t="s">
        <v>950</v>
      </c>
      <c r="IV703" s="211" t="s">
        <v>2434</v>
      </c>
    </row>
    <row r="704" spans="255:256" x14ac:dyDescent="0.2">
      <c r="IU704" s="210" t="s">
        <v>951</v>
      </c>
      <c r="IV704" s="211" t="s">
        <v>2435</v>
      </c>
    </row>
    <row r="705" spans="255:256" x14ac:dyDescent="0.2">
      <c r="IU705" s="210" t="s">
        <v>952</v>
      </c>
      <c r="IV705" s="211" t="s">
        <v>2436</v>
      </c>
    </row>
    <row r="706" spans="255:256" x14ac:dyDescent="0.2">
      <c r="IU706" s="210" t="s">
        <v>953</v>
      </c>
      <c r="IV706" s="211" t="s">
        <v>2437</v>
      </c>
    </row>
    <row r="707" spans="255:256" x14ac:dyDescent="0.2">
      <c r="IU707" s="210" t="s">
        <v>954</v>
      </c>
      <c r="IV707" s="211" t="s">
        <v>2438</v>
      </c>
    </row>
    <row r="708" spans="255:256" x14ac:dyDescent="0.2">
      <c r="IU708" s="210" t="s">
        <v>955</v>
      </c>
      <c r="IV708" s="211" t="s">
        <v>2439</v>
      </c>
    </row>
    <row r="709" spans="255:256" x14ac:dyDescent="0.2">
      <c r="IU709" s="210" t="s">
        <v>956</v>
      </c>
      <c r="IV709" s="211" t="s">
        <v>2440</v>
      </c>
    </row>
    <row r="710" spans="255:256" x14ac:dyDescent="0.2">
      <c r="IU710" s="210" t="s">
        <v>957</v>
      </c>
      <c r="IV710" s="211" t="s">
        <v>2441</v>
      </c>
    </row>
    <row r="711" spans="255:256" x14ac:dyDescent="0.2">
      <c r="IU711" s="210" t="s">
        <v>958</v>
      </c>
      <c r="IV711" s="211" t="s">
        <v>2442</v>
      </c>
    </row>
    <row r="712" spans="255:256" x14ac:dyDescent="0.2">
      <c r="IU712" s="210" t="s">
        <v>959</v>
      </c>
      <c r="IV712" s="211" t="s">
        <v>2443</v>
      </c>
    </row>
    <row r="713" spans="255:256" x14ac:dyDescent="0.2">
      <c r="IU713" s="210" t="s">
        <v>960</v>
      </c>
      <c r="IV713" s="211" t="s">
        <v>2444</v>
      </c>
    </row>
    <row r="714" spans="255:256" x14ac:dyDescent="0.2">
      <c r="IU714" s="210" t="s">
        <v>961</v>
      </c>
      <c r="IV714" s="211" t="s">
        <v>2445</v>
      </c>
    </row>
    <row r="715" spans="255:256" x14ac:dyDescent="0.2">
      <c r="IU715" s="210" t="s">
        <v>962</v>
      </c>
      <c r="IV715" s="211" t="s">
        <v>2446</v>
      </c>
    </row>
    <row r="716" spans="255:256" x14ac:dyDescent="0.2">
      <c r="IU716" s="210" t="s">
        <v>963</v>
      </c>
      <c r="IV716" s="211" t="s">
        <v>2447</v>
      </c>
    </row>
    <row r="717" spans="255:256" x14ac:dyDescent="0.2">
      <c r="IU717" s="210" t="s">
        <v>964</v>
      </c>
      <c r="IV717" s="211" t="s">
        <v>2448</v>
      </c>
    </row>
    <row r="718" spans="255:256" x14ac:dyDescent="0.2">
      <c r="IU718" s="210" t="s">
        <v>965</v>
      </c>
      <c r="IV718" s="211" t="s">
        <v>2449</v>
      </c>
    </row>
    <row r="719" spans="255:256" x14ac:dyDescent="0.2">
      <c r="IU719" s="210" t="s">
        <v>966</v>
      </c>
      <c r="IV719" s="211" t="s">
        <v>2286</v>
      </c>
    </row>
    <row r="720" spans="255:256" x14ac:dyDescent="0.2">
      <c r="IU720" s="210" t="s">
        <v>967</v>
      </c>
      <c r="IV720" s="211" t="s">
        <v>2450</v>
      </c>
    </row>
    <row r="721" spans="255:256" x14ac:dyDescent="0.2">
      <c r="IU721" s="210" t="s">
        <v>968</v>
      </c>
      <c r="IV721" s="211" t="s">
        <v>2451</v>
      </c>
    </row>
    <row r="722" spans="255:256" x14ac:dyDescent="0.2">
      <c r="IU722" s="210" t="s">
        <v>969</v>
      </c>
      <c r="IV722" s="211" t="s">
        <v>2452</v>
      </c>
    </row>
    <row r="723" spans="255:256" x14ac:dyDescent="0.2">
      <c r="IU723" s="210" t="s">
        <v>970</v>
      </c>
      <c r="IV723" s="211" t="s">
        <v>2453</v>
      </c>
    </row>
    <row r="724" spans="255:256" x14ac:dyDescent="0.2">
      <c r="IU724" s="210" t="s">
        <v>971</v>
      </c>
      <c r="IV724" s="211" t="s">
        <v>2391</v>
      </c>
    </row>
    <row r="725" spans="255:256" x14ac:dyDescent="0.2">
      <c r="IU725" s="210" t="s">
        <v>972</v>
      </c>
      <c r="IV725" s="211" t="s">
        <v>2454</v>
      </c>
    </row>
    <row r="726" spans="255:256" x14ac:dyDescent="0.2">
      <c r="IU726" s="210" t="s">
        <v>973</v>
      </c>
      <c r="IV726" s="211" t="s">
        <v>2455</v>
      </c>
    </row>
    <row r="727" spans="255:256" x14ac:dyDescent="0.2">
      <c r="IU727" s="210" t="s">
        <v>974</v>
      </c>
      <c r="IV727" s="211" t="s">
        <v>2456</v>
      </c>
    </row>
    <row r="728" spans="255:256" x14ac:dyDescent="0.2">
      <c r="IU728" s="210" t="s">
        <v>975</v>
      </c>
      <c r="IV728" s="211" t="s">
        <v>2457</v>
      </c>
    </row>
    <row r="729" spans="255:256" x14ac:dyDescent="0.2">
      <c r="IU729" s="210" t="s">
        <v>976</v>
      </c>
      <c r="IV729" s="211" t="s">
        <v>2458</v>
      </c>
    </row>
    <row r="730" spans="255:256" x14ac:dyDescent="0.2">
      <c r="IU730" s="210" t="s">
        <v>977</v>
      </c>
      <c r="IV730" s="211" t="s">
        <v>2459</v>
      </c>
    </row>
    <row r="731" spans="255:256" x14ac:dyDescent="0.2">
      <c r="IU731" s="210" t="s">
        <v>978</v>
      </c>
      <c r="IV731" s="211" t="s">
        <v>2460</v>
      </c>
    </row>
    <row r="732" spans="255:256" x14ac:dyDescent="0.2">
      <c r="IU732" s="210" t="s">
        <v>979</v>
      </c>
      <c r="IV732" s="211" t="s">
        <v>2461</v>
      </c>
    </row>
    <row r="733" spans="255:256" x14ac:dyDescent="0.2">
      <c r="IU733" s="210" t="s">
        <v>980</v>
      </c>
      <c r="IV733" s="211" t="s">
        <v>2462</v>
      </c>
    </row>
    <row r="734" spans="255:256" x14ac:dyDescent="0.2">
      <c r="IU734" s="210" t="s">
        <v>981</v>
      </c>
      <c r="IV734" s="211" t="s">
        <v>2463</v>
      </c>
    </row>
    <row r="735" spans="255:256" x14ac:dyDescent="0.2">
      <c r="IU735" s="210" t="s">
        <v>982</v>
      </c>
      <c r="IV735" s="211" t="s">
        <v>2464</v>
      </c>
    </row>
    <row r="736" spans="255:256" x14ac:dyDescent="0.2">
      <c r="IU736" s="210" t="s">
        <v>983</v>
      </c>
      <c r="IV736" s="211" t="s">
        <v>2465</v>
      </c>
    </row>
    <row r="737" spans="255:256" x14ac:dyDescent="0.2">
      <c r="IU737" s="210" t="s">
        <v>984</v>
      </c>
      <c r="IV737" s="211" t="s">
        <v>2466</v>
      </c>
    </row>
    <row r="738" spans="255:256" x14ac:dyDescent="0.2">
      <c r="IU738" s="210" t="s">
        <v>985</v>
      </c>
      <c r="IV738" s="211" t="s">
        <v>2467</v>
      </c>
    </row>
    <row r="739" spans="255:256" x14ac:dyDescent="0.2">
      <c r="IU739" s="210" t="s">
        <v>986</v>
      </c>
      <c r="IV739" s="211" t="s">
        <v>2468</v>
      </c>
    </row>
    <row r="740" spans="255:256" x14ac:dyDescent="0.2">
      <c r="IU740" s="210" t="s">
        <v>987</v>
      </c>
      <c r="IV740" s="211" t="s">
        <v>1796</v>
      </c>
    </row>
    <row r="741" spans="255:256" x14ac:dyDescent="0.2">
      <c r="IU741" s="210" t="s">
        <v>988</v>
      </c>
      <c r="IV741" s="211" t="s">
        <v>2236</v>
      </c>
    </row>
    <row r="742" spans="255:256" x14ac:dyDescent="0.2">
      <c r="IU742" s="210" t="s">
        <v>989</v>
      </c>
      <c r="IV742" s="211" t="s">
        <v>2469</v>
      </c>
    </row>
    <row r="743" spans="255:256" x14ac:dyDescent="0.2">
      <c r="IU743" s="210" t="s">
        <v>990</v>
      </c>
      <c r="IV743" s="211" t="s">
        <v>2470</v>
      </c>
    </row>
    <row r="744" spans="255:256" x14ac:dyDescent="0.2">
      <c r="IU744" s="210" t="s">
        <v>991</v>
      </c>
      <c r="IV744" s="211" t="s">
        <v>2471</v>
      </c>
    </row>
    <row r="745" spans="255:256" x14ac:dyDescent="0.2">
      <c r="IU745" s="210" t="s">
        <v>992</v>
      </c>
      <c r="IV745" s="211" t="s">
        <v>2472</v>
      </c>
    </row>
    <row r="746" spans="255:256" x14ac:dyDescent="0.2">
      <c r="IU746" s="210" t="s">
        <v>993</v>
      </c>
      <c r="IV746" s="211" t="s">
        <v>2473</v>
      </c>
    </row>
    <row r="747" spans="255:256" x14ac:dyDescent="0.2">
      <c r="IU747" s="210" t="s">
        <v>994</v>
      </c>
      <c r="IV747" s="211" t="s">
        <v>2474</v>
      </c>
    </row>
    <row r="748" spans="255:256" x14ac:dyDescent="0.2">
      <c r="IU748" s="210" t="s">
        <v>995</v>
      </c>
      <c r="IV748" s="211" t="s">
        <v>2475</v>
      </c>
    </row>
    <row r="749" spans="255:256" x14ac:dyDescent="0.2">
      <c r="IU749" s="210" t="s">
        <v>996</v>
      </c>
      <c r="IV749" s="211" t="s">
        <v>2476</v>
      </c>
    </row>
    <row r="750" spans="255:256" x14ac:dyDescent="0.2">
      <c r="IU750" s="210" t="s">
        <v>997</v>
      </c>
      <c r="IV750" s="211" t="s">
        <v>2477</v>
      </c>
    </row>
    <row r="751" spans="255:256" x14ac:dyDescent="0.2">
      <c r="IU751" s="210" t="s">
        <v>998</v>
      </c>
      <c r="IV751" s="211" t="s">
        <v>2478</v>
      </c>
    </row>
    <row r="752" spans="255:256" x14ac:dyDescent="0.2">
      <c r="IU752" s="210" t="s">
        <v>999</v>
      </c>
      <c r="IV752" s="211" t="s">
        <v>2190</v>
      </c>
    </row>
    <row r="753" spans="255:256" x14ac:dyDescent="0.2">
      <c r="IU753" s="210" t="s">
        <v>1000</v>
      </c>
      <c r="IV753" s="211" t="s">
        <v>2479</v>
      </c>
    </row>
    <row r="754" spans="255:256" x14ac:dyDescent="0.2">
      <c r="IU754" s="210" t="s">
        <v>1001</v>
      </c>
      <c r="IV754" s="211" t="s">
        <v>2480</v>
      </c>
    </row>
    <row r="755" spans="255:256" x14ac:dyDescent="0.2">
      <c r="IU755" s="210" t="s">
        <v>1002</v>
      </c>
      <c r="IV755" s="211" t="s">
        <v>2481</v>
      </c>
    </row>
    <row r="756" spans="255:256" x14ac:dyDescent="0.2">
      <c r="IU756" s="210" t="s">
        <v>1003</v>
      </c>
      <c r="IV756" s="211" t="s">
        <v>2482</v>
      </c>
    </row>
    <row r="757" spans="255:256" x14ac:dyDescent="0.2">
      <c r="IU757" s="210" t="s">
        <v>1004</v>
      </c>
      <c r="IV757" s="211" t="s">
        <v>2483</v>
      </c>
    </row>
    <row r="758" spans="255:256" x14ac:dyDescent="0.2">
      <c r="IU758" s="210" t="s">
        <v>1005</v>
      </c>
      <c r="IV758" s="211" t="s">
        <v>2484</v>
      </c>
    </row>
    <row r="759" spans="255:256" x14ac:dyDescent="0.2">
      <c r="IU759" s="210" t="s">
        <v>1006</v>
      </c>
      <c r="IV759" s="211" t="s">
        <v>2485</v>
      </c>
    </row>
    <row r="760" spans="255:256" x14ac:dyDescent="0.2">
      <c r="IU760" s="210" t="s">
        <v>1007</v>
      </c>
      <c r="IV760" s="211" t="s">
        <v>2486</v>
      </c>
    </row>
    <row r="761" spans="255:256" x14ac:dyDescent="0.2">
      <c r="IU761" s="210" t="s">
        <v>1008</v>
      </c>
      <c r="IV761" s="211" t="s">
        <v>2487</v>
      </c>
    </row>
    <row r="762" spans="255:256" x14ac:dyDescent="0.2">
      <c r="IU762" s="210" t="s">
        <v>1009</v>
      </c>
      <c r="IV762" s="211" t="s">
        <v>2488</v>
      </c>
    </row>
    <row r="763" spans="255:256" x14ac:dyDescent="0.2">
      <c r="IU763" s="210" t="s">
        <v>1010</v>
      </c>
      <c r="IV763" s="211" t="s">
        <v>2489</v>
      </c>
    </row>
    <row r="764" spans="255:256" x14ac:dyDescent="0.2">
      <c r="IU764" s="210" t="s">
        <v>1011</v>
      </c>
      <c r="IV764" s="211" t="s">
        <v>2490</v>
      </c>
    </row>
    <row r="765" spans="255:256" x14ac:dyDescent="0.2">
      <c r="IU765" s="210" t="s">
        <v>1012</v>
      </c>
      <c r="IV765" s="211" t="s">
        <v>2491</v>
      </c>
    </row>
    <row r="766" spans="255:256" x14ac:dyDescent="0.2">
      <c r="IU766" s="210" t="s">
        <v>1013</v>
      </c>
      <c r="IV766" s="211" t="s">
        <v>2492</v>
      </c>
    </row>
    <row r="767" spans="255:256" x14ac:dyDescent="0.2">
      <c r="IU767" s="210" t="s">
        <v>1014</v>
      </c>
      <c r="IV767" s="211" t="s">
        <v>2493</v>
      </c>
    </row>
    <row r="768" spans="255:256" x14ac:dyDescent="0.2">
      <c r="IU768" s="210" t="s">
        <v>1015</v>
      </c>
      <c r="IV768" s="211" t="s">
        <v>2494</v>
      </c>
    </row>
    <row r="769" spans="255:256" x14ac:dyDescent="0.2">
      <c r="IU769" s="210" t="s">
        <v>1016</v>
      </c>
      <c r="IV769" s="211" t="s">
        <v>2495</v>
      </c>
    </row>
    <row r="770" spans="255:256" x14ac:dyDescent="0.2">
      <c r="IU770" s="210" t="s">
        <v>1017</v>
      </c>
      <c r="IV770" s="211" t="s">
        <v>2496</v>
      </c>
    </row>
    <row r="771" spans="255:256" x14ac:dyDescent="0.2">
      <c r="IU771" s="210" t="s">
        <v>1018</v>
      </c>
      <c r="IV771" s="211" t="s">
        <v>2497</v>
      </c>
    </row>
    <row r="772" spans="255:256" x14ac:dyDescent="0.2">
      <c r="IU772" s="210" t="s">
        <v>1019</v>
      </c>
      <c r="IV772" s="211" t="s">
        <v>2498</v>
      </c>
    </row>
    <row r="773" spans="255:256" x14ac:dyDescent="0.2">
      <c r="IU773" s="210" t="s">
        <v>1020</v>
      </c>
      <c r="IV773" s="211" t="s">
        <v>2499</v>
      </c>
    </row>
    <row r="774" spans="255:256" x14ac:dyDescent="0.2">
      <c r="IU774" s="210" t="s">
        <v>1021</v>
      </c>
      <c r="IV774" s="211" t="s">
        <v>2500</v>
      </c>
    </row>
    <row r="775" spans="255:256" x14ac:dyDescent="0.2">
      <c r="IU775" s="210" t="s">
        <v>1022</v>
      </c>
      <c r="IV775" s="211" t="s">
        <v>2501</v>
      </c>
    </row>
    <row r="776" spans="255:256" x14ac:dyDescent="0.2">
      <c r="IU776" s="210" t="s">
        <v>1023</v>
      </c>
      <c r="IV776" s="211" t="s">
        <v>2502</v>
      </c>
    </row>
    <row r="777" spans="255:256" x14ac:dyDescent="0.2">
      <c r="IU777" s="210" t="s">
        <v>1024</v>
      </c>
      <c r="IV777" s="211" t="s">
        <v>2503</v>
      </c>
    </row>
    <row r="778" spans="255:256" x14ac:dyDescent="0.2">
      <c r="IU778" s="210" t="s">
        <v>1025</v>
      </c>
      <c r="IV778" s="211" t="s">
        <v>2504</v>
      </c>
    </row>
    <row r="779" spans="255:256" x14ac:dyDescent="0.2">
      <c r="IU779" s="210" t="s">
        <v>1026</v>
      </c>
      <c r="IV779" s="211" t="s">
        <v>2505</v>
      </c>
    </row>
    <row r="780" spans="255:256" x14ac:dyDescent="0.2">
      <c r="IU780" s="210" t="s">
        <v>1027</v>
      </c>
      <c r="IV780" s="211" t="s">
        <v>2506</v>
      </c>
    </row>
    <row r="781" spans="255:256" x14ac:dyDescent="0.2">
      <c r="IU781" s="210" t="s">
        <v>1028</v>
      </c>
      <c r="IV781" s="211" t="s">
        <v>2507</v>
      </c>
    </row>
    <row r="782" spans="255:256" x14ac:dyDescent="0.2">
      <c r="IU782" s="210" t="s">
        <v>1029</v>
      </c>
      <c r="IV782" s="211" t="s">
        <v>2353</v>
      </c>
    </row>
    <row r="783" spans="255:256" x14ac:dyDescent="0.2">
      <c r="IU783" s="210" t="s">
        <v>1030</v>
      </c>
      <c r="IV783" s="211" t="s">
        <v>2508</v>
      </c>
    </row>
    <row r="784" spans="255:256" x14ac:dyDescent="0.2">
      <c r="IU784" s="210" t="s">
        <v>1031</v>
      </c>
      <c r="IV784" s="211" t="s">
        <v>2509</v>
      </c>
    </row>
    <row r="785" spans="255:256" x14ac:dyDescent="0.2">
      <c r="IU785" s="210" t="s">
        <v>1032</v>
      </c>
      <c r="IV785" s="211" t="s">
        <v>2510</v>
      </c>
    </row>
    <row r="786" spans="255:256" x14ac:dyDescent="0.2">
      <c r="IU786" s="210" t="s">
        <v>1033</v>
      </c>
      <c r="IV786" s="211" t="s">
        <v>2511</v>
      </c>
    </row>
    <row r="787" spans="255:256" x14ac:dyDescent="0.2">
      <c r="IU787" s="210" t="s">
        <v>1034</v>
      </c>
      <c r="IV787" s="211" t="s">
        <v>2512</v>
      </c>
    </row>
    <row r="788" spans="255:256" x14ac:dyDescent="0.2">
      <c r="IU788" s="210" t="s">
        <v>1035</v>
      </c>
      <c r="IV788" s="211" t="s">
        <v>2513</v>
      </c>
    </row>
    <row r="789" spans="255:256" x14ac:dyDescent="0.2">
      <c r="IU789" s="210" t="s">
        <v>2514</v>
      </c>
      <c r="IV789" s="211" t="s">
        <v>2515</v>
      </c>
    </row>
    <row r="790" spans="255:256" x14ac:dyDescent="0.2">
      <c r="IU790" s="210" t="s">
        <v>2708</v>
      </c>
      <c r="IV790" s="211" t="s">
        <v>2709</v>
      </c>
    </row>
    <row r="791" spans="255:256" x14ac:dyDescent="0.2">
      <c r="IU791" s="204" t="s">
        <v>1036</v>
      </c>
      <c r="IV791" s="200" t="s">
        <v>2223</v>
      </c>
    </row>
    <row r="792" spans="255:256" x14ac:dyDescent="0.2">
      <c r="IU792" s="204" t="s">
        <v>1037</v>
      </c>
      <c r="IV792" s="200" t="s">
        <v>2516</v>
      </c>
    </row>
    <row r="793" spans="255:256" x14ac:dyDescent="0.2">
      <c r="IU793" s="204" t="s">
        <v>1038</v>
      </c>
      <c r="IV793" s="200" t="s">
        <v>2517</v>
      </c>
    </row>
    <row r="794" spans="255:256" x14ac:dyDescent="0.2">
      <c r="IU794" s="204" t="s">
        <v>1039</v>
      </c>
      <c r="IV794" s="200" t="s">
        <v>2255</v>
      </c>
    </row>
    <row r="795" spans="255:256" x14ac:dyDescent="0.2">
      <c r="IU795" s="204" t="s">
        <v>1040</v>
      </c>
      <c r="IV795" s="200" t="s">
        <v>2518</v>
      </c>
    </row>
    <row r="796" spans="255:256" x14ac:dyDescent="0.2">
      <c r="IU796" s="204" t="s">
        <v>1041</v>
      </c>
      <c r="IV796" s="200" t="s">
        <v>2519</v>
      </c>
    </row>
    <row r="797" spans="255:256" x14ac:dyDescent="0.2">
      <c r="IU797" s="204" t="s">
        <v>1042</v>
      </c>
      <c r="IV797" s="200" t="s">
        <v>2520</v>
      </c>
    </row>
    <row r="798" spans="255:256" x14ac:dyDescent="0.2">
      <c r="IU798" s="204" t="s">
        <v>1043</v>
      </c>
      <c r="IV798" s="200" t="s">
        <v>2521</v>
      </c>
    </row>
    <row r="799" spans="255:256" x14ac:dyDescent="0.2">
      <c r="IU799" s="204" t="s">
        <v>1044</v>
      </c>
      <c r="IV799" s="200" t="s">
        <v>2522</v>
      </c>
    </row>
    <row r="800" spans="255:256" x14ac:dyDescent="0.2">
      <c r="IU800" s="204" t="s">
        <v>1045</v>
      </c>
      <c r="IV800" s="200" t="s">
        <v>2523</v>
      </c>
    </row>
    <row r="801" spans="255:256" x14ac:dyDescent="0.2">
      <c r="IU801" s="204" t="s">
        <v>1046</v>
      </c>
      <c r="IV801" s="200" t="s">
        <v>2524</v>
      </c>
    </row>
    <row r="802" spans="255:256" x14ac:dyDescent="0.2">
      <c r="IU802" s="204" t="s">
        <v>1047</v>
      </c>
      <c r="IV802" s="200" t="s">
        <v>2525</v>
      </c>
    </row>
    <row r="803" spans="255:256" x14ac:dyDescent="0.2">
      <c r="IU803" s="204" t="s">
        <v>1048</v>
      </c>
      <c r="IV803" s="200" t="s">
        <v>2526</v>
      </c>
    </row>
    <row r="804" spans="255:256" x14ac:dyDescent="0.2">
      <c r="IU804" s="204" t="s">
        <v>1049</v>
      </c>
      <c r="IV804" s="200" t="s">
        <v>2527</v>
      </c>
    </row>
    <row r="805" spans="255:256" x14ac:dyDescent="0.2">
      <c r="IU805" s="204" t="s">
        <v>1050</v>
      </c>
      <c r="IV805" s="200" t="s">
        <v>2528</v>
      </c>
    </row>
    <row r="806" spans="255:256" x14ac:dyDescent="0.2">
      <c r="IU806" s="204" t="s">
        <v>1051</v>
      </c>
      <c r="IV806" s="200" t="s">
        <v>2094</v>
      </c>
    </row>
    <row r="807" spans="255:256" x14ac:dyDescent="0.2">
      <c r="IU807" s="204" t="s">
        <v>1052</v>
      </c>
      <c r="IV807" s="200" t="s">
        <v>2529</v>
      </c>
    </row>
    <row r="808" spans="255:256" x14ac:dyDescent="0.2">
      <c r="IU808" s="204" t="s">
        <v>1053</v>
      </c>
      <c r="IV808" s="200" t="s">
        <v>2530</v>
      </c>
    </row>
    <row r="809" spans="255:256" x14ac:dyDescent="0.2">
      <c r="IU809" s="204" t="s">
        <v>1054</v>
      </c>
      <c r="IV809" s="200" t="s">
        <v>2531</v>
      </c>
    </row>
    <row r="810" spans="255:256" x14ac:dyDescent="0.2">
      <c r="IU810" s="204" t="s">
        <v>1055</v>
      </c>
      <c r="IV810" s="200" t="s">
        <v>2532</v>
      </c>
    </row>
    <row r="811" spans="255:256" x14ac:dyDescent="0.2">
      <c r="IU811" s="204" t="s">
        <v>1056</v>
      </c>
      <c r="IV811" s="200" t="s">
        <v>1841</v>
      </c>
    </row>
    <row r="812" spans="255:256" x14ac:dyDescent="0.2">
      <c r="IU812" s="204" t="s">
        <v>1057</v>
      </c>
      <c r="IV812" s="200" t="s">
        <v>2533</v>
      </c>
    </row>
    <row r="813" spans="255:256" x14ac:dyDescent="0.2">
      <c r="IU813" s="204" t="s">
        <v>1058</v>
      </c>
      <c r="IV813" s="200" t="s">
        <v>2534</v>
      </c>
    </row>
    <row r="814" spans="255:256" x14ac:dyDescent="0.2">
      <c r="IU814" s="204" t="s">
        <v>1059</v>
      </c>
      <c r="IV814" s="200" t="s">
        <v>2535</v>
      </c>
    </row>
    <row r="815" spans="255:256" x14ac:dyDescent="0.2">
      <c r="IU815" s="204" t="s">
        <v>1060</v>
      </c>
      <c r="IV815" s="200" t="s">
        <v>2536</v>
      </c>
    </row>
    <row r="816" spans="255:256" x14ac:dyDescent="0.2">
      <c r="IU816" s="204" t="s">
        <v>1061</v>
      </c>
      <c r="IV816" s="200" t="s">
        <v>2537</v>
      </c>
    </row>
    <row r="817" spans="255:256" x14ac:dyDescent="0.2">
      <c r="IU817" s="204" t="s">
        <v>1062</v>
      </c>
      <c r="IV817" s="200" t="s">
        <v>2538</v>
      </c>
    </row>
    <row r="818" spans="255:256" x14ac:dyDescent="0.2">
      <c r="IU818" s="204" t="s">
        <v>1063</v>
      </c>
      <c r="IV818" s="200" t="s">
        <v>2539</v>
      </c>
    </row>
    <row r="819" spans="255:256" x14ac:dyDescent="0.2">
      <c r="IU819" s="204" t="s">
        <v>1064</v>
      </c>
      <c r="IV819" s="200" t="s">
        <v>2540</v>
      </c>
    </row>
    <row r="820" spans="255:256" x14ac:dyDescent="0.2">
      <c r="IU820" s="204" t="s">
        <v>1065</v>
      </c>
      <c r="IV820" s="200" t="s">
        <v>2541</v>
      </c>
    </row>
    <row r="821" spans="255:256" x14ac:dyDescent="0.2">
      <c r="IU821" s="204" t="s">
        <v>1066</v>
      </c>
      <c r="IV821" s="200" t="s">
        <v>2542</v>
      </c>
    </row>
    <row r="822" spans="255:256" x14ac:dyDescent="0.2">
      <c r="IU822" s="204" t="s">
        <v>1067</v>
      </c>
      <c r="IV822" s="200" t="s">
        <v>2543</v>
      </c>
    </row>
    <row r="823" spans="255:256" x14ac:dyDescent="0.2">
      <c r="IU823" s="204" t="s">
        <v>1068</v>
      </c>
      <c r="IV823" s="200" t="s">
        <v>2544</v>
      </c>
    </row>
    <row r="824" spans="255:256" x14ac:dyDescent="0.2">
      <c r="IU824" s="204" t="s">
        <v>1069</v>
      </c>
      <c r="IV824" s="200" t="s">
        <v>2471</v>
      </c>
    </row>
    <row r="825" spans="255:256" x14ac:dyDescent="0.2">
      <c r="IU825" s="204" t="s">
        <v>1070</v>
      </c>
      <c r="IV825" s="200" t="s">
        <v>2545</v>
      </c>
    </row>
    <row r="826" spans="255:256" x14ac:dyDescent="0.2">
      <c r="IU826" s="204" t="s">
        <v>1071</v>
      </c>
      <c r="IV826" s="200" t="s">
        <v>2546</v>
      </c>
    </row>
    <row r="827" spans="255:256" x14ac:dyDescent="0.2">
      <c r="IU827" s="204" t="s">
        <v>1072</v>
      </c>
      <c r="IV827" s="200" t="s">
        <v>2547</v>
      </c>
    </row>
    <row r="828" spans="255:256" x14ac:dyDescent="0.2">
      <c r="IU828" s="204" t="s">
        <v>1073</v>
      </c>
      <c r="IV828" s="200" t="s">
        <v>2548</v>
      </c>
    </row>
    <row r="829" spans="255:256" x14ac:dyDescent="0.2">
      <c r="IU829" s="204" t="s">
        <v>1074</v>
      </c>
      <c r="IV829" s="200" t="s">
        <v>2549</v>
      </c>
    </row>
    <row r="830" spans="255:256" x14ac:dyDescent="0.2">
      <c r="IU830" s="204" t="s">
        <v>1075</v>
      </c>
      <c r="IV830" s="200" t="s">
        <v>2550</v>
      </c>
    </row>
    <row r="831" spans="255:256" x14ac:dyDescent="0.2">
      <c r="IU831" s="204" t="s">
        <v>1076</v>
      </c>
      <c r="IV831" s="200" t="s">
        <v>2551</v>
      </c>
    </row>
    <row r="832" spans="255:256" x14ac:dyDescent="0.2">
      <c r="IU832" s="204" t="s">
        <v>1077</v>
      </c>
      <c r="IV832" s="200" t="s">
        <v>2552</v>
      </c>
    </row>
    <row r="833" spans="255:256" x14ac:dyDescent="0.2">
      <c r="IU833" s="204" t="s">
        <v>1078</v>
      </c>
      <c r="IV833" s="200" t="s">
        <v>2553</v>
      </c>
    </row>
    <row r="834" spans="255:256" x14ac:dyDescent="0.2">
      <c r="IU834" s="204" t="s">
        <v>1079</v>
      </c>
      <c r="IV834" s="200" t="s">
        <v>2554</v>
      </c>
    </row>
    <row r="835" spans="255:256" x14ac:dyDescent="0.2">
      <c r="IU835" s="204" t="s">
        <v>1080</v>
      </c>
      <c r="IV835" s="200" t="s">
        <v>2555</v>
      </c>
    </row>
    <row r="836" spans="255:256" x14ac:dyDescent="0.2">
      <c r="IU836" s="204" t="s">
        <v>1081</v>
      </c>
      <c r="IV836" s="200" t="s">
        <v>2484</v>
      </c>
    </row>
    <row r="837" spans="255:256" x14ac:dyDescent="0.2">
      <c r="IU837" s="204" t="s">
        <v>1082</v>
      </c>
      <c r="IV837" s="200" t="s">
        <v>2556</v>
      </c>
    </row>
    <row r="838" spans="255:256" x14ac:dyDescent="0.2">
      <c r="IU838" s="204" t="s">
        <v>1083</v>
      </c>
      <c r="IV838" s="200" t="s">
        <v>2557</v>
      </c>
    </row>
    <row r="839" spans="255:256" x14ac:dyDescent="0.2">
      <c r="IU839" s="204" t="s">
        <v>1084</v>
      </c>
      <c r="IV839" s="200" t="s">
        <v>2558</v>
      </c>
    </row>
    <row r="840" spans="255:256" x14ac:dyDescent="0.2">
      <c r="IU840" s="204" t="s">
        <v>1085</v>
      </c>
      <c r="IV840" s="200" t="s">
        <v>2009</v>
      </c>
    </row>
    <row r="841" spans="255:256" x14ac:dyDescent="0.2">
      <c r="IU841" s="204" t="s">
        <v>1086</v>
      </c>
      <c r="IV841" s="200" t="s">
        <v>2559</v>
      </c>
    </row>
    <row r="842" spans="255:256" x14ac:dyDescent="0.2">
      <c r="IU842" s="204" t="s">
        <v>1087</v>
      </c>
      <c r="IV842" s="200" t="s">
        <v>2560</v>
      </c>
    </row>
    <row r="843" spans="255:256" x14ac:dyDescent="0.2">
      <c r="IU843" s="204" t="s">
        <v>1088</v>
      </c>
      <c r="IV843" s="200" t="s">
        <v>2561</v>
      </c>
    </row>
    <row r="844" spans="255:256" x14ac:dyDescent="0.2">
      <c r="IU844" s="204" t="s">
        <v>1089</v>
      </c>
      <c r="IV844" s="200" t="s">
        <v>2506</v>
      </c>
    </row>
    <row r="845" spans="255:256" x14ac:dyDescent="0.2">
      <c r="IU845" s="204" t="s">
        <v>1090</v>
      </c>
      <c r="IV845" s="200" t="s">
        <v>2562</v>
      </c>
    </row>
    <row r="846" spans="255:256" x14ac:dyDescent="0.2">
      <c r="IU846" s="204" t="s">
        <v>1091</v>
      </c>
      <c r="IV846" s="200" t="s">
        <v>2563</v>
      </c>
    </row>
    <row r="847" spans="255:256" x14ac:dyDescent="0.2">
      <c r="IU847" s="204" t="s">
        <v>1092</v>
      </c>
      <c r="IV847" s="200" t="s">
        <v>2564</v>
      </c>
    </row>
    <row r="848" spans="255:256" x14ac:dyDescent="0.2">
      <c r="IU848" s="204" t="s">
        <v>1093</v>
      </c>
      <c r="IV848" s="200" t="s">
        <v>2565</v>
      </c>
    </row>
    <row r="849" spans="255:256" x14ac:dyDescent="0.2">
      <c r="IU849" s="204" t="s">
        <v>1094</v>
      </c>
      <c r="IV849" s="200" t="s">
        <v>2510</v>
      </c>
    </row>
    <row r="850" spans="255:256" x14ac:dyDescent="0.2">
      <c r="IU850" s="204" t="s">
        <v>1095</v>
      </c>
      <c r="IV850" s="200" t="s">
        <v>2566</v>
      </c>
    </row>
    <row r="851" spans="255:256" x14ac:dyDescent="0.2">
      <c r="IU851" s="204" t="s">
        <v>1096</v>
      </c>
      <c r="IV851" s="200" t="s">
        <v>2567</v>
      </c>
    </row>
    <row r="852" spans="255:256" x14ac:dyDescent="0.2">
      <c r="IU852" s="204" t="s">
        <v>1097</v>
      </c>
      <c r="IV852" s="200" t="s">
        <v>2568</v>
      </c>
    </row>
    <row r="853" spans="255:256" x14ac:dyDescent="0.2">
      <c r="IU853" s="204" t="s">
        <v>1745</v>
      </c>
      <c r="IV853" s="200" t="s">
        <v>2569</v>
      </c>
    </row>
    <row r="854" spans="255:256" x14ac:dyDescent="0.2">
      <c r="IU854" s="204" t="s">
        <v>1746</v>
      </c>
      <c r="IV854" s="200" t="s">
        <v>2570</v>
      </c>
    </row>
    <row r="855" spans="255:256" x14ac:dyDescent="0.2">
      <c r="IU855" s="204" t="s">
        <v>1747</v>
      </c>
      <c r="IV855" s="200" t="s">
        <v>2571</v>
      </c>
    </row>
    <row r="856" spans="255:256" x14ac:dyDescent="0.2">
      <c r="IU856" s="204" t="s">
        <v>1748</v>
      </c>
      <c r="IV856" s="200" t="s">
        <v>2572</v>
      </c>
    </row>
    <row r="857" spans="255:256" x14ac:dyDescent="0.2">
      <c r="IU857" s="204" t="s">
        <v>1749</v>
      </c>
      <c r="IV857" s="200" t="s">
        <v>2102</v>
      </c>
    </row>
    <row r="858" spans="255:256" x14ac:dyDescent="0.2">
      <c r="IU858" s="204" t="s">
        <v>1750</v>
      </c>
      <c r="IV858" s="200" t="s">
        <v>2573</v>
      </c>
    </row>
    <row r="859" spans="255:256" x14ac:dyDescent="0.2">
      <c r="IU859" s="204" t="s">
        <v>1751</v>
      </c>
      <c r="IV859" s="200" t="s">
        <v>2574</v>
      </c>
    </row>
    <row r="860" spans="255:256" x14ac:dyDescent="0.2">
      <c r="IU860" s="204" t="s">
        <v>1752</v>
      </c>
      <c r="IV860" s="200" t="s">
        <v>2575</v>
      </c>
    </row>
    <row r="861" spans="255:256" x14ac:dyDescent="0.2">
      <c r="IU861" s="204" t="s">
        <v>1753</v>
      </c>
      <c r="IV861" s="200" t="s">
        <v>2576</v>
      </c>
    </row>
    <row r="862" spans="255:256" x14ac:dyDescent="0.2">
      <c r="IU862" s="204" t="s">
        <v>1754</v>
      </c>
      <c r="IV862" s="200" t="s">
        <v>2577</v>
      </c>
    </row>
    <row r="863" spans="255:256" x14ac:dyDescent="0.2">
      <c r="IU863" s="204" t="s">
        <v>1755</v>
      </c>
      <c r="IV863" s="200" t="s">
        <v>2578</v>
      </c>
    </row>
    <row r="864" spans="255:256" x14ac:dyDescent="0.2">
      <c r="IU864" s="204" t="s">
        <v>2579</v>
      </c>
      <c r="IV864" s="200" t="s">
        <v>2580</v>
      </c>
    </row>
    <row r="865" spans="255:256" x14ac:dyDescent="0.2">
      <c r="IU865" s="204" t="s">
        <v>1098</v>
      </c>
      <c r="IV865" s="200" t="s">
        <v>2581</v>
      </c>
    </row>
    <row r="866" spans="255:256" x14ac:dyDescent="0.2">
      <c r="IU866" s="204" t="s">
        <v>1099</v>
      </c>
      <c r="IV866" s="200" t="s">
        <v>2582</v>
      </c>
    </row>
    <row r="867" spans="255:256" x14ac:dyDescent="0.2">
      <c r="IU867" s="204" t="s">
        <v>1100</v>
      </c>
      <c r="IV867" s="200" t="s">
        <v>2583</v>
      </c>
    </row>
    <row r="868" spans="255:256" x14ac:dyDescent="0.2">
      <c r="IU868" s="204" t="s">
        <v>1756</v>
      </c>
      <c r="IV868" s="200" t="s">
        <v>2584</v>
      </c>
    </row>
    <row r="869" spans="255:256" x14ac:dyDescent="0.2">
      <c r="IU869" s="204" t="s">
        <v>2585</v>
      </c>
      <c r="IV869" s="200" t="s">
        <v>2586</v>
      </c>
    </row>
    <row r="870" spans="255:256" x14ac:dyDescent="0.2">
      <c r="IU870" s="204" t="s">
        <v>1101</v>
      </c>
      <c r="IV870" s="200" t="s">
        <v>2587</v>
      </c>
    </row>
    <row r="871" spans="255:256" x14ac:dyDescent="0.2">
      <c r="IU871" s="204" t="s">
        <v>1102</v>
      </c>
      <c r="IV871" s="200" t="s">
        <v>2588</v>
      </c>
    </row>
    <row r="872" spans="255:256" x14ac:dyDescent="0.2">
      <c r="IU872" s="204" t="s">
        <v>1103</v>
      </c>
      <c r="IV872" s="200" t="s">
        <v>2589</v>
      </c>
    </row>
    <row r="873" spans="255:256" x14ac:dyDescent="0.2">
      <c r="IU873" s="204" t="s">
        <v>1104</v>
      </c>
      <c r="IV873" s="200" t="s">
        <v>2590</v>
      </c>
    </row>
    <row r="874" spans="255:256" x14ac:dyDescent="0.2">
      <c r="IU874" s="204" t="s">
        <v>1757</v>
      </c>
      <c r="IV874" s="200" t="s">
        <v>2591</v>
      </c>
    </row>
    <row r="875" spans="255:256" x14ac:dyDescent="0.2">
      <c r="IU875" s="204" t="s">
        <v>2592</v>
      </c>
      <c r="IV875" s="200" t="s">
        <v>2593</v>
      </c>
    </row>
    <row r="876" spans="255:256" x14ac:dyDescent="0.2">
      <c r="IU876" s="204" t="s">
        <v>1105</v>
      </c>
      <c r="IV876" s="200" t="s">
        <v>2594</v>
      </c>
    </row>
    <row r="877" spans="255:256" x14ac:dyDescent="0.2">
      <c r="IU877" s="204" t="s">
        <v>1106</v>
      </c>
      <c r="IV877" s="200" t="s">
        <v>2595</v>
      </c>
    </row>
    <row r="878" spans="255:256" x14ac:dyDescent="0.2">
      <c r="IU878" s="204" t="s">
        <v>1107</v>
      </c>
      <c r="IV878" s="200" t="s">
        <v>2596</v>
      </c>
    </row>
    <row r="879" spans="255:256" x14ac:dyDescent="0.2">
      <c r="IU879" s="204" t="s">
        <v>1108</v>
      </c>
      <c r="IV879" s="200" t="s">
        <v>2597</v>
      </c>
    </row>
    <row r="880" spans="255:256" x14ac:dyDescent="0.2">
      <c r="IU880" s="204" t="s">
        <v>1758</v>
      </c>
      <c r="IV880" s="200" t="s">
        <v>2598</v>
      </c>
    </row>
    <row r="881" spans="255:256" x14ac:dyDescent="0.2">
      <c r="IU881" s="204" t="s">
        <v>2599</v>
      </c>
      <c r="IV881" s="200" t="s">
        <v>2600</v>
      </c>
    </row>
    <row r="882" spans="255:256" x14ac:dyDescent="0.2">
      <c r="IU882" s="204" t="s">
        <v>1109</v>
      </c>
      <c r="IV882" s="200" t="s">
        <v>2601</v>
      </c>
    </row>
    <row r="883" spans="255:256" x14ac:dyDescent="0.2">
      <c r="IU883" s="204" t="s">
        <v>1110</v>
      </c>
      <c r="IV883" s="200" t="s">
        <v>2602</v>
      </c>
    </row>
    <row r="884" spans="255:256" x14ac:dyDescent="0.2">
      <c r="IU884" s="204" t="s">
        <v>1759</v>
      </c>
      <c r="IV884" s="200" t="s">
        <v>2603</v>
      </c>
    </row>
    <row r="885" spans="255:256" x14ac:dyDescent="0.2">
      <c r="IU885" s="204" t="s">
        <v>1111</v>
      </c>
      <c r="IV885" s="200" t="s">
        <v>2583</v>
      </c>
    </row>
    <row r="886" spans="255:256" x14ac:dyDescent="0.2">
      <c r="IU886" s="204" t="s">
        <v>1760</v>
      </c>
      <c r="IV886" s="200" t="s">
        <v>2604</v>
      </c>
    </row>
    <row r="887" spans="255:256" x14ac:dyDescent="0.2">
      <c r="IU887" s="204" t="s">
        <v>2605</v>
      </c>
      <c r="IV887" s="200" t="s">
        <v>2606</v>
      </c>
    </row>
    <row r="888" spans="255:256" x14ac:dyDescent="0.2">
      <c r="IU888" s="204" t="s">
        <v>1112</v>
      </c>
      <c r="IV888" s="200" t="s">
        <v>2607</v>
      </c>
    </row>
    <row r="889" spans="255:256" x14ac:dyDescent="0.2">
      <c r="IU889" s="204" t="s">
        <v>1761</v>
      </c>
      <c r="IV889" s="200" t="s">
        <v>2608</v>
      </c>
    </row>
    <row r="890" spans="255:256" x14ac:dyDescent="0.2">
      <c r="IU890" s="204" t="s">
        <v>1113</v>
      </c>
      <c r="IV890" s="200" t="s">
        <v>2583</v>
      </c>
    </row>
    <row r="891" spans="255:256" x14ac:dyDescent="0.2">
      <c r="IU891" s="204" t="s">
        <v>1762</v>
      </c>
      <c r="IV891" s="200" t="s">
        <v>2609</v>
      </c>
    </row>
    <row r="892" spans="255:256" x14ac:dyDescent="0.2">
      <c r="IU892" s="204" t="s">
        <v>2610</v>
      </c>
      <c r="IV892" s="200" t="s">
        <v>2611</v>
      </c>
    </row>
    <row r="893" spans="255:256" x14ac:dyDescent="0.2">
      <c r="IU893" s="204" t="s">
        <v>1114</v>
      </c>
      <c r="IV893" s="200" t="s">
        <v>2612</v>
      </c>
    </row>
    <row r="894" spans="255:256" x14ac:dyDescent="0.2">
      <c r="IU894" s="204" t="s">
        <v>1115</v>
      </c>
      <c r="IV894" s="200" t="s">
        <v>2613</v>
      </c>
    </row>
    <row r="895" spans="255:256" x14ac:dyDescent="0.2">
      <c r="IU895" s="204" t="s">
        <v>2614</v>
      </c>
      <c r="IV895" s="200" t="s">
        <v>2615</v>
      </c>
    </row>
    <row r="896" spans="255:256" x14ac:dyDescent="0.2">
      <c r="IU896" s="204" t="s">
        <v>1116</v>
      </c>
      <c r="IV896" s="200" t="s">
        <v>2583</v>
      </c>
    </row>
    <row r="897" spans="255:256" x14ac:dyDescent="0.2">
      <c r="IU897" s="204" t="s">
        <v>1763</v>
      </c>
      <c r="IV897" s="200" t="s">
        <v>2616</v>
      </c>
    </row>
    <row r="898" spans="255:256" x14ac:dyDescent="0.2">
      <c r="IU898" s="204" t="s">
        <v>2617</v>
      </c>
      <c r="IV898" s="200" t="s">
        <v>2618</v>
      </c>
    </row>
    <row r="899" spans="255:256" x14ac:dyDescent="0.2">
      <c r="IU899" s="204" t="s">
        <v>1117</v>
      </c>
      <c r="IV899" s="200" t="s">
        <v>2619</v>
      </c>
    </row>
    <row r="900" spans="255:256" x14ac:dyDescent="0.2">
      <c r="IU900" s="204" t="s">
        <v>1118</v>
      </c>
      <c r="IV900" s="200" t="s">
        <v>2620</v>
      </c>
    </row>
    <row r="901" spans="255:256" x14ac:dyDescent="0.2">
      <c r="IU901" s="204" t="s">
        <v>1764</v>
      </c>
      <c r="IV901" s="200" t="s">
        <v>2621</v>
      </c>
    </row>
    <row r="902" spans="255:256" x14ac:dyDescent="0.2">
      <c r="IU902" s="204" t="s">
        <v>2622</v>
      </c>
      <c r="IV902" s="200" t="s">
        <v>2623</v>
      </c>
    </row>
    <row r="903" spans="255:256" x14ac:dyDescent="0.2">
      <c r="IU903" s="204" t="s">
        <v>1119</v>
      </c>
      <c r="IV903" s="200" t="s">
        <v>2624</v>
      </c>
    </row>
    <row r="904" spans="255:256" x14ac:dyDescent="0.2">
      <c r="IU904" s="204" t="s">
        <v>1120</v>
      </c>
      <c r="IV904" s="200" t="s">
        <v>2625</v>
      </c>
    </row>
    <row r="905" spans="255:256" x14ac:dyDescent="0.2">
      <c r="IU905" s="204" t="s">
        <v>2626</v>
      </c>
      <c r="IV905" s="200" t="s">
        <v>2627</v>
      </c>
    </row>
    <row r="906" spans="255:256" x14ac:dyDescent="0.2">
      <c r="IU906" s="204" t="s">
        <v>1121</v>
      </c>
      <c r="IV906" s="200" t="s">
        <v>2628</v>
      </c>
    </row>
    <row r="907" spans="255:256" x14ac:dyDescent="0.2">
      <c r="IU907" s="204" t="s">
        <v>1122</v>
      </c>
      <c r="IV907" s="200" t="s">
        <v>2629</v>
      </c>
    </row>
    <row r="908" spans="255:256" x14ac:dyDescent="0.2">
      <c r="IU908" s="204" t="s">
        <v>2630</v>
      </c>
      <c r="IV908" s="200" t="s">
        <v>2631</v>
      </c>
    </row>
    <row r="909" spans="255:256" x14ac:dyDescent="0.2">
      <c r="IU909" s="204" t="s">
        <v>1123</v>
      </c>
      <c r="IV909" s="200" t="s">
        <v>2632</v>
      </c>
    </row>
    <row r="910" spans="255:256" x14ac:dyDescent="0.2">
      <c r="IU910" s="204" t="s">
        <v>1124</v>
      </c>
      <c r="IV910" s="200" t="s">
        <v>2633</v>
      </c>
    </row>
    <row r="911" spans="255:256" x14ac:dyDescent="0.2">
      <c r="IU911" s="204" t="s">
        <v>2634</v>
      </c>
      <c r="IV911" s="200" t="s">
        <v>2635</v>
      </c>
    </row>
    <row r="912" spans="255:256" x14ac:dyDescent="0.2">
      <c r="IU912" s="204" t="s">
        <v>1125</v>
      </c>
      <c r="IV912" s="200" t="s">
        <v>2636</v>
      </c>
    </row>
    <row r="913" spans="255:256" x14ac:dyDescent="0.2">
      <c r="IU913" s="204" t="s">
        <v>1126</v>
      </c>
      <c r="IV913" s="200" t="s">
        <v>2637</v>
      </c>
    </row>
    <row r="914" spans="255:256" x14ac:dyDescent="0.2">
      <c r="IU914" s="204" t="s">
        <v>1127</v>
      </c>
      <c r="IV914" s="200" t="s">
        <v>2638</v>
      </c>
    </row>
    <row r="915" spans="255:256" x14ac:dyDescent="0.2">
      <c r="IU915" s="204" t="s">
        <v>1128</v>
      </c>
      <c r="IV915" s="200" t="s">
        <v>2639</v>
      </c>
    </row>
    <row r="916" spans="255:256" x14ac:dyDescent="0.2">
      <c r="IU916" s="204" t="s">
        <v>1129</v>
      </c>
      <c r="IV916" s="200" t="s">
        <v>2640</v>
      </c>
    </row>
    <row r="917" spans="255:256" x14ac:dyDescent="0.2">
      <c r="IU917" s="204" t="s">
        <v>1130</v>
      </c>
      <c r="IV917" s="200" t="s">
        <v>2641</v>
      </c>
    </row>
    <row r="918" spans="255:256" x14ac:dyDescent="0.2">
      <c r="IU918" s="204" t="s">
        <v>1131</v>
      </c>
      <c r="IV918" s="200" t="s">
        <v>2642</v>
      </c>
    </row>
    <row r="919" spans="255:256" x14ac:dyDescent="0.2">
      <c r="IU919" s="204" t="s">
        <v>1132</v>
      </c>
      <c r="IV919" s="200" t="s">
        <v>2643</v>
      </c>
    </row>
    <row r="920" spans="255:256" x14ac:dyDescent="0.2">
      <c r="IU920" s="204" t="s">
        <v>1133</v>
      </c>
      <c r="IV920" s="200" t="s">
        <v>2644</v>
      </c>
    </row>
    <row r="921" spans="255:256" x14ac:dyDescent="0.2">
      <c r="IU921" s="204" t="s">
        <v>1134</v>
      </c>
      <c r="IV921" s="200" t="s">
        <v>2645</v>
      </c>
    </row>
    <row r="922" spans="255:256" x14ac:dyDescent="0.2">
      <c r="IU922" s="204" t="s">
        <v>1135</v>
      </c>
      <c r="IV922" s="200" t="s">
        <v>2646</v>
      </c>
    </row>
    <row r="923" spans="255:256" x14ac:dyDescent="0.2">
      <c r="IU923" s="204" t="s">
        <v>1136</v>
      </c>
      <c r="IV923" s="200" t="s">
        <v>2647</v>
      </c>
    </row>
    <row r="924" spans="255:256" x14ac:dyDescent="0.2">
      <c r="IU924" s="204" t="s">
        <v>1137</v>
      </c>
      <c r="IV924" s="200" t="s">
        <v>2648</v>
      </c>
    </row>
    <row r="925" spans="255:256" x14ac:dyDescent="0.2">
      <c r="IU925" s="204" t="s">
        <v>1138</v>
      </c>
      <c r="IV925" s="200" t="s">
        <v>2649</v>
      </c>
    </row>
    <row r="926" spans="255:256" x14ac:dyDescent="0.2">
      <c r="IU926" s="204" t="s">
        <v>1139</v>
      </c>
      <c r="IV926" s="200" t="s">
        <v>2650</v>
      </c>
    </row>
    <row r="927" spans="255:256" x14ac:dyDescent="0.2">
      <c r="IU927" s="204" t="s">
        <v>1140</v>
      </c>
      <c r="IV927" s="200" t="s">
        <v>2651</v>
      </c>
    </row>
    <row r="928" spans="255:256" x14ac:dyDescent="0.2">
      <c r="IU928" s="204" t="s">
        <v>1141</v>
      </c>
      <c r="IV928" s="200" t="s">
        <v>2652</v>
      </c>
    </row>
    <row r="929" spans="255:256" x14ac:dyDescent="0.2">
      <c r="IU929" s="204" t="s">
        <v>1142</v>
      </c>
      <c r="IV929" s="200" t="s">
        <v>2653</v>
      </c>
    </row>
    <row r="930" spans="255:256" x14ac:dyDescent="0.2">
      <c r="IU930" s="204" t="s">
        <v>1143</v>
      </c>
      <c r="IV930" s="200" t="s">
        <v>2654</v>
      </c>
    </row>
    <row r="931" spans="255:256" x14ac:dyDescent="0.2">
      <c r="IU931" s="204" t="s">
        <v>1144</v>
      </c>
      <c r="IV931" s="200" t="s">
        <v>2655</v>
      </c>
    </row>
    <row r="932" spans="255:256" x14ac:dyDescent="0.2">
      <c r="IU932" s="204" t="s">
        <v>1145</v>
      </c>
      <c r="IV932" s="200" t="s">
        <v>2656</v>
      </c>
    </row>
    <row r="933" spans="255:256" x14ac:dyDescent="0.2">
      <c r="IU933" s="204" t="s">
        <v>1146</v>
      </c>
      <c r="IV933" s="200" t="s">
        <v>2657</v>
      </c>
    </row>
    <row r="934" spans="255:256" x14ac:dyDescent="0.2">
      <c r="IU934" s="204" t="s">
        <v>1147</v>
      </c>
      <c r="IV934" s="200" t="s">
        <v>2658</v>
      </c>
    </row>
    <row r="935" spans="255:256" x14ac:dyDescent="0.2">
      <c r="IU935" s="204" t="s">
        <v>1148</v>
      </c>
      <c r="IV935" s="200" t="s">
        <v>2659</v>
      </c>
    </row>
    <row r="936" spans="255:256" x14ac:dyDescent="0.2">
      <c r="IU936" s="204" t="s">
        <v>1149</v>
      </c>
      <c r="IV936" s="200" t="s">
        <v>2660</v>
      </c>
    </row>
    <row r="937" spans="255:256" x14ac:dyDescent="0.2">
      <c r="IU937" s="204" t="s">
        <v>1150</v>
      </c>
      <c r="IV937" s="200" t="s">
        <v>2661</v>
      </c>
    </row>
    <row r="938" spans="255:256" x14ac:dyDescent="0.2">
      <c r="IU938" s="204" t="s">
        <v>1151</v>
      </c>
      <c r="IV938" s="200" t="s">
        <v>2662</v>
      </c>
    </row>
    <row r="939" spans="255:256" x14ac:dyDescent="0.2">
      <c r="IU939" s="204" t="s">
        <v>1152</v>
      </c>
      <c r="IV939" s="200" t="s">
        <v>2663</v>
      </c>
    </row>
    <row r="940" spans="255:256" x14ac:dyDescent="0.2">
      <c r="IU940" s="204" t="s">
        <v>1153</v>
      </c>
      <c r="IV940" s="200" t="s">
        <v>2664</v>
      </c>
    </row>
    <row r="941" spans="255:256" x14ac:dyDescent="0.2">
      <c r="IU941" s="204" t="s">
        <v>1154</v>
      </c>
      <c r="IV941" s="200" t="s">
        <v>2665</v>
      </c>
    </row>
    <row r="942" spans="255:256" x14ac:dyDescent="0.2">
      <c r="IU942" s="204" t="s">
        <v>1155</v>
      </c>
      <c r="IV942" s="200" t="s">
        <v>2666</v>
      </c>
    </row>
    <row r="943" spans="255:256" x14ac:dyDescent="0.2">
      <c r="IU943" s="204" t="s">
        <v>1156</v>
      </c>
      <c r="IV943" s="200" t="s">
        <v>2667</v>
      </c>
    </row>
    <row r="944" spans="255:256" x14ac:dyDescent="0.2">
      <c r="IU944" s="204" t="s">
        <v>1157</v>
      </c>
      <c r="IV944" s="200" t="s">
        <v>2668</v>
      </c>
    </row>
    <row r="945" spans="255:256" ht="15" x14ac:dyDescent="0.25">
      <c r="IU945" s="205" t="s">
        <v>1158</v>
      </c>
      <c r="IV945" s="201" t="s">
        <v>2669</v>
      </c>
    </row>
    <row r="946" spans="255:256" ht="15" x14ac:dyDescent="0.25">
      <c r="IU946" s="205" t="s">
        <v>1159</v>
      </c>
      <c r="IV946" s="201" t="s">
        <v>2670</v>
      </c>
    </row>
    <row r="947" spans="255:256" ht="15" x14ac:dyDescent="0.25">
      <c r="IU947" s="205" t="s">
        <v>1160</v>
      </c>
      <c r="IV947" s="201" t="s">
        <v>2671</v>
      </c>
    </row>
    <row r="948" spans="255:256" ht="15" x14ac:dyDescent="0.25">
      <c r="IU948" s="205" t="s">
        <v>1161</v>
      </c>
      <c r="IV948" s="201" t="s">
        <v>2672</v>
      </c>
    </row>
    <row r="949" spans="255:256" ht="15" x14ac:dyDescent="0.25">
      <c r="IU949" s="205" t="s">
        <v>1162</v>
      </c>
      <c r="IV949" s="201" t="s">
        <v>2673</v>
      </c>
    </row>
    <row r="950" spans="255:256" ht="15" x14ac:dyDescent="0.25">
      <c r="IU950" s="205" t="s">
        <v>1163</v>
      </c>
      <c r="IV950" s="201" t="s">
        <v>2674</v>
      </c>
    </row>
    <row r="951" spans="255:256" ht="15" x14ac:dyDescent="0.25">
      <c r="IU951" s="205" t="s">
        <v>1164</v>
      </c>
      <c r="IV951" s="201" t="s">
        <v>2675</v>
      </c>
    </row>
    <row r="952" spans="255:256" ht="15" x14ac:dyDescent="0.25">
      <c r="IU952" s="205" t="s">
        <v>1165</v>
      </c>
      <c r="IV952" s="201" t="s">
        <v>2676</v>
      </c>
    </row>
    <row r="953" spans="255:256" ht="15" x14ac:dyDescent="0.25">
      <c r="IU953" s="205" t="s">
        <v>1166</v>
      </c>
      <c r="IV953" s="201" t="s">
        <v>2677</v>
      </c>
    </row>
    <row r="954" spans="255:256" ht="15" x14ac:dyDescent="0.25">
      <c r="IU954" s="205" t="s">
        <v>1167</v>
      </c>
      <c r="IV954" s="201" t="s">
        <v>2678</v>
      </c>
    </row>
    <row r="955" spans="255:256" ht="15" x14ac:dyDescent="0.25">
      <c r="IU955" s="205" t="s">
        <v>1168</v>
      </c>
      <c r="IV955" s="201" t="s">
        <v>2679</v>
      </c>
    </row>
    <row r="956" spans="255:256" ht="15" x14ac:dyDescent="0.25">
      <c r="IU956" s="205" t="s">
        <v>1169</v>
      </c>
      <c r="IV956" s="201" t="s">
        <v>2680</v>
      </c>
    </row>
    <row r="957" spans="255:256" ht="15" x14ac:dyDescent="0.25">
      <c r="IU957" s="205" t="s">
        <v>1170</v>
      </c>
      <c r="IV957" s="201" t="s">
        <v>2681</v>
      </c>
    </row>
    <row r="958" spans="255:256" ht="15" x14ac:dyDescent="0.25">
      <c r="IU958" s="205" t="s">
        <v>1171</v>
      </c>
      <c r="IV958" s="201" t="s">
        <v>2682</v>
      </c>
    </row>
    <row r="959" spans="255:256" ht="15" x14ac:dyDescent="0.25">
      <c r="IU959" s="205" t="s">
        <v>1172</v>
      </c>
      <c r="IV959" s="201" t="s">
        <v>2683</v>
      </c>
    </row>
    <row r="960" spans="255:256" ht="15" x14ac:dyDescent="0.25">
      <c r="IU960" s="205" t="s">
        <v>1173</v>
      </c>
      <c r="IV960" s="201" t="s">
        <v>2656</v>
      </c>
    </row>
    <row r="961" spans="255:256" ht="15" x14ac:dyDescent="0.25">
      <c r="IU961" s="205" t="s">
        <v>1174</v>
      </c>
      <c r="IV961" s="201" t="s">
        <v>2684</v>
      </c>
    </row>
    <row r="962" spans="255:256" ht="15" x14ac:dyDescent="0.25">
      <c r="IU962" s="205" t="s">
        <v>1175</v>
      </c>
      <c r="IV962" s="201" t="s">
        <v>2685</v>
      </c>
    </row>
    <row r="963" spans="255:256" ht="15" x14ac:dyDescent="0.25">
      <c r="IU963" s="205" t="s">
        <v>1176</v>
      </c>
      <c r="IV963" s="201" t="s">
        <v>2686</v>
      </c>
    </row>
    <row r="964" spans="255:256" ht="15" x14ac:dyDescent="0.25">
      <c r="IU964" s="205" t="s">
        <v>1177</v>
      </c>
      <c r="IV964" s="201" t="s">
        <v>2687</v>
      </c>
    </row>
    <row r="965" spans="255:256" ht="15" x14ac:dyDescent="0.25">
      <c r="IU965" s="205" t="s">
        <v>1178</v>
      </c>
      <c r="IV965" s="201" t="s">
        <v>2688</v>
      </c>
    </row>
    <row r="966" spans="255:256" ht="15" x14ac:dyDescent="0.25">
      <c r="IU966" s="205" t="s">
        <v>1179</v>
      </c>
      <c r="IV966" s="201" t="s">
        <v>2686</v>
      </c>
    </row>
    <row r="967" spans="255:256" ht="15" x14ac:dyDescent="0.25">
      <c r="IU967" s="205" t="s">
        <v>1180</v>
      </c>
      <c r="IV967" s="201" t="s">
        <v>2689</v>
      </c>
    </row>
    <row r="968" spans="255:256" ht="15" x14ac:dyDescent="0.25">
      <c r="IU968" s="205" t="s">
        <v>1181</v>
      </c>
      <c r="IV968" s="201" t="s">
        <v>2690</v>
      </c>
    </row>
    <row r="969" spans="255:256" ht="15" x14ac:dyDescent="0.25">
      <c r="IU969" s="205" t="s">
        <v>1182</v>
      </c>
      <c r="IV969" s="201" t="s">
        <v>2691</v>
      </c>
    </row>
    <row r="970" spans="255:256" ht="15" x14ac:dyDescent="0.25">
      <c r="IU970" s="205" t="s">
        <v>1183</v>
      </c>
      <c r="IV970" s="201" t="s">
        <v>2692</v>
      </c>
    </row>
    <row r="971" spans="255:256" ht="15" x14ac:dyDescent="0.25">
      <c r="IU971" s="205" t="s">
        <v>1184</v>
      </c>
      <c r="IV971" s="201" t="s">
        <v>2693</v>
      </c>
    </row>
    <row r="972" spans="255:256" ht="15" x14ac:dyDescent="0.25">
      <c r="IU972" s="205" t="s">
        <v>1185</v>
      </c>
      <c r="IV972" s="201" t="s">
        <v>2694</v>
      </c>
    </row>
    <row r="973" spans="255:256" ht="15" x14ac:dyDescent="0.25">
      <c r="IU973" s="205" t="s">
        <v>1186</v>
      </c>
      <c r="IV973" s="201" t="s">
        <v>2695</v>
      </c>
    </row>
    <row r="974" spans="255:256" ht="15" x14ac:dyDescent="0.25">
      <c r="IU974" s="205" t="s">
        <v>1187</v>
      </c>
      <c r="IV974" s="201" t="s">
        <v>2696</v>
      </c>
    </row>
    <row r="975" spans="255:256" ht="15" x14ac:dyDescent="0.25">
      <c r="IU975" s="205" t="s">
        <v>1188</v>
      </c>
      <c r="IV975" s="201" t="s">
        <v>2697</v>
      </c>
    </row>
    <row r="976" spans="255:256" ht="15" x14ac:dyDescent="0.25">
      <c r="IU976" s="205" t="s">
        <v>1189</v>
      </c>
      <c r="IV976" s="201" t="s">
        <v>2698</v>
      </c>
    </row>
    <row r="977" spans="255:256" ht="15" x14ac:dyDescent="0.25">
      <c r="IU977" s="205" t="s">
        <v>1190</v>
      </c>
      <c r="IV977" s="201" t="s">
        <v>2699</v>
      </c>
    </row>
    <row r="978" spans="255:256" ht="15" x14ac:dyDescent="0.25">
      <c r="IU978" s="205" t="s">
        <v>1191</v>
      </c>
      <c r="IV978" s="201" t="s">
        <v>2700</v>
      </c>
    </row>
    <row r="979" spans="255:256" ht="15" x14ac:dyDescent="0.25">
      <c r="IU979" s="205" t="s">
        <v>1765</v>
      </c>
      <c r="IV979" s="201" t="s">
        <v>2653</v>
      </c>
    </row>
    <row r="980" spans="255:256" ht="15" x14ac:dyDescent="0.25">
      <c r="IU980" s="205" t="s">
        <v>1192</v>
      </c>
      <c r="IV980" s="201" t="s">
        <v>2701</v>
      </c>
    </row>
    <row r="981" spans="255:256" ht="15" x14ac:dyDescent="0.25">
      <c r="IU981" s="205" t="s">
        <v>1193</v>
      </c>
      <c r="IV981" s="201" t="s">
        <v>2656</v>
      </c>
    </row>
    <row r="982" spans="255:256" ht="15" x14ac:dyDescent="0.25">
      <c r="IU982" s="205" t="s">
        <v>1766</v>
      </c>
      <c r="IV982" s="201" t="s">
        <v>2702</v>
      </c>
    </row>
    <row r="983" spans="255:256" ht="15" x14ac:dyDescent="0.25">
      <c r="IU983" s="205" t="s">
        <v>1194</v>
      </c>
      <c r="IV983" s="201" t="s">
        <v>2703</v>
      </c>
    </row>
    <row r="984" spans="255:256" ht="15" x14ac:dyDescent="0.25">
      <c r="IU984" s="205" t="s">
        <v>1195</v>
      </c>
      <c r="IV984" s="201" t="s">
        <v>2704</v>
      </c>
    </row>
    <row r="985" spans="255:256" ht="15" x14ac:dyDescent="0.25">
      <c r="IU985" s="206" t="s">
        <v>2705</v>
      </c>
      <c r="IV985" s="202" t="s">
        <v>2706</v>
      </c>
    </row>
  </sheetData>
  <sheetProtection password="C44C" sheet="1"/>
  <protectedRanges>
    <protectedRange sqref="I6 C10:F10 D11:F13 D15:F15 K10:K11 I15:K15 I12:K13 D9:K9 IU20:IV20 I10:I11" name="Intervalo1"/>
  </protectedRanges>
  <dataConsolidate/>
  <mergeCells count="16">
    <mergeCell ref="IU1:IV1"/>
    <mergeCell ref="B15:C15"/>
    <mergeCell ref="D15:F15"/>
    <mergeCell ref="I15:K15"/>
    <mergeCell ref="A4:A16"/>
    <mergeCell ref="B12:C12"/>
    <mergeCell ref="D12:F12"/>
    <mergeCell ref="I12:K12"/>
    <mergeCell ref="E10:F10"/>
    <mergeCell ref="C6:D6"/>
    <mergeCell ref="B1:C2"/>
    <mergeCell ref="D1:K2"/>
    <mergeCell ref="B9:C9"/>
    <mergeCell ref="D9:K9"/>
    <mergeCell ref="D11:F11"/>
    <mergeCell ref="C10:D10"/>
  </mergeCells>
  <phoneticPr fontId="2" type="noConversion"/>
  <conditionalFormatting sqref="D9:K9">
    <cfRule type="cellIs" priority="1" stopIfTrue="1" operator="notEqual">
      <formula>vazio</formula>
    </cfRule>
  </conditionalFormatting>
  <dataValidations xWindow="685" yWindow="306" count="8">
    <dataValidation allowBlank="1" showInputMessage="1" showErrorMessage="1" errorTitle="Digitação Inválida" error="Por favor digite somente os números do CPF/CNPJ, sem &quot;.&quot;, &quot;/&quot;, nem &quot;-&quot;." prompt="Digite apenas os números." sqref="IU20"/>
    <dataValidation type="whole" allowBlank="1" showInputMessage="1" showErrorMessage="1" errorTitle="Digitação Inválida" error="Por favor digite somente os números, sem &quot;.&quot;, nem &quot;-&quot;." prompt="Digite apenas os números." sqref="I10">
      <formula1>1</formula1>
      <formula2>999999999</formula2>
    </dataValidation>
    <dataValidation type="whole" allowBlank="1" showInputMessage="1" showErrorMessage="1" errorTitle="Digitação Inválida" error="Por favor digite somente os números, sem &quot;.&quot;, nem &quot;-&quot;." prompt="Digite somente os números." sqref="K10">
      <formula1>1</formula1>
      <formula2>9999999999</formula2>
    </dataValidation>
    <dataValidation type="list" allowBlank="1" showErrorMessage="1" errorTitle="Caixa de Seleção" error="Este campo não está aberto para digitação._x000a_Para indicar o tipo de emissão, deve-se seleciona-lo na lista." prompt="_x000a_" sqref="K11 I11">
      <formula1>"Sicoob,Cedente"</formula1>
    </dataValidation>
    <dataValidation type="list" allowBlank="1" showInputMessage="1" showErrorMessage="1" errorTitle="Caixa de Seleção" error="Este campo não está aberto para digitação._x000a_Para indicar a carteira/modalidade, deve-se seleciona-la na lista." sqref="D11:F11">
      <formula1>"1/01-Simples Com Registro,1/02-Simples Sem Registro,3/03-Garantida Caucionada"</formula1>
    </dataValidation>
    <dataValidation allowBlank="1" showInputMessage="1" showErrorMessage="1" errorTitle="Digitação Inválida" error="Por favor digite somente os números do CPF/CNPJ, sem &quot;.&quot;, &quot;/&quot;, nem &quot;-&quot;." prompt="Informe o número do CPF ou CNPJ_x000a_Digite apenas os números." sqref="C10:D10"/>
    <dataValidation allowBlank="1" showInputMessage="1" showErrorMessage="1" errorTitle="Digitação Inválida" error="Por favor digite somente os números do CPF/CNPJ, sem &quot;.&quot;, &quot;/&quot;, nem &quot;-&quot;." sqref="E10:F10"/>
    <dataValidation type="list" allowBlank="1" showInputMessage="1" showErrorMessage="1" prompt="Selecione a Cooperativa" sqref="I6">
      <formula1>$IU$3:$IU$985</formula1>
    </dataValidation>
  </dataValidations>
  <pageMargins left="0.51181102362204722" right="0.51181102362204722" top="0.78740157480314965" bottom="0.78740157480314965" header="0.31496062992125984" footer="0.31496062992125984"/>
  <pageSetup paperSize="9" scale="8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05"/>
  <dimension ref="A1:M311"/>
  <sheetViews>
    <sheetView showGridLines="0" topLeftCell="A130" zoomScale="85" zoomScaleNormal="85" zoomScaleSheetLayoutView="100" workbookViewId="0">
      <selection activeCell="B127" sqref="B127:K162"/>
    </sheetView>
  </sheetViews>
  <sheetFormatPr defaultRowHeight="12.75" x14ac:dyDescent="0.2"/>
  <cols>
    <col min="1" max="1" width="9.140625" style="170"/>
    <col min="2" max="2" width="8.28515625" style="170" customWidth="1"/>
    <col min="3" max="3" width="8.140625" style="170" customWidth="1"/>
    <col min="4" max="4" width="15.7109375" style="170" bestFit="1" customWidth="1"/>
    <col min="5" max="5" width="15.7109375" style="170" customWidth="1"/>
    <col min="6" max="6" width="9.140625" style="170"/>
    <col min="7" max="7" width="20.7109375" style="170" customWidth="1"/>
    <col min="8" max="12" width="9.140625" style="170"/>
    <col min="13" max="13" width="9.7109375" style="170" customWidth="1"/>
    <col min="14" max="16384" width="9.140625" style="170"/>
  </cols>
  <sheetData>
    <row r="1" spans="1:13" x14ac:dyDescent="0.2">
      <c r="A1" s="126"/>
      <c r="B1" s="126"/>
      <c r="C1" s="126"/>
      <c r="D1" s="126"/>
      <c r="E1" s="126"/>
      <c r="F1" s="126"/>
      <c r="G1" s="126"/>
      <c r="H1" s="126"/>
      <c r="I1" s="126"/>
      <c r="J1" s="126"/>
      <c r="K1" s="126"/>
      <c r="L1" s="126"/>
      <c r="M1" s="126"/>
    </row>
    <row r="2" spans="1:13" x14ac:dyDescent="0.2">
      <c r="A2" s="126"/>
      <c r="B2" s="126"/>
      <c r="C2" s="126"/>
      <c r="D2" s="126"/>
      <c r="E2" s="126"/>
      <c r="F2" s="126"/>
      <c r="G2" s="126"/>
      <c r="H2" s="126"/>
      <c r="I2" s="126"/>
      <c r="J2" s="126"/>
      <c r="K2" s="126"/>
      <c r="L2" s="126"/>
      <c r="M2" s="126"/>
    </row>
    <row r="3" spans="1:13" x14ac:dyDescent="0.2">
      <c r="A3" s="126"/>
      <c r="B3" s="126"/>
      <c r="C3" s="126"/>
      <c r="D3" s="126"/>
      <c r="E3" s="126"/>
      <c r="F3" s="126"/>
      <c r="G3" s="126"/>
      <c r="H3" s="126"/>
      <c r="I3" s="126"/>
      <c r="J3" s="126"/>
      <c r="K3" s="126"/>
      <c r="L3" s="126"/>
      <c r="M3" s="126"/>
    </row>
    <row r="4" spans="1:13" x14ac:dyDescent="0.2">
      <c r="A4" s="126"/>
      <c r="B4" s="126"/>
      <c r="C4" s="126"/>
      <c r="D4" s="126"/>
      <c r="E4" s="126"/>
      <c r="F4" s="126"/>
      <c r="G4" s="126"/>
      <c r="H4" s="126"/>
      <c r="I4" s="126"/>
      <c r="J4" s="126"/>
      <c r="K4" s="126"/>
      <c r="L4" s="126"/>
      <c r="M4" s="126"/>
    </row>
    <row r="5" spans="1:13" x14ac:dyDescent="0.2">
      <c r="A5" s="126"/>
      <c r="B5" s="126"/>
      <c r="C5" s="126"/>
      <c r="D5" s="126"/>
      <c r="E5" s="126"/>
      <c r="F5" s="126"/>
      <c r="G5" s="126"/>
      <c r="H5" s="126"/>
      <c r="I5" s="126"/>
      <c r="J5" s="126"/>
      <c r="K5" s="126"/>
      <c r="L5" s="126"/>
      <c r="M5" s="126"/>
    </row>
    <row r="6" spans="1:13" x14ac:dyDescent="0.2">
      <c r="A6" s="126"/>
      <c r="B6" s="126"/>
      <c r="C6" s="126"/>
      <c r="D6" s="126"/>
      <c r="E6" s="126"/>
      <c r="F6" s="126"/>
      <c r="G6" s="126"/>
      <c r="H6" s="126"/>
      <c r="I6" s="126"/>
      <c r="J6" s="126"/>
      <c r="K6" s="126"/>
      <c r="L6" s="126"/>
      <c r="M6" s="126"/>
    </row>
    <row r="7" spans="1:13" x14ac:dyDescent="0.2">
      <c r="A7" s="126"/>
      <c r="B7" s="126"/>
      <c r="C7" s="126"/>
      <c r="D7" s="126"/>
      <c r="E7" s="126"/>
      <c r="F7" s="126"/>
      <c r="G7" s="126"/>
      <c r="H7" s="126"/>
      <c r="I7" s="126"/>
      <c r="J7" s="126"/>
      <c r="K7" s="126"/>
      <c r="L7" s="126"/>
      <c r="M7" s="126"/>
    </row>
    <row r="8" spans="1:13" x14ac:dyDescent="0.2">
      <c r="A8" s="126"/>
      <c r="B8" s="126"/>
      <c r="C8" s="126"/>
      <c r="D8" s="126"/>
      <c r="E8" s="126"/>
      <c r="F8" s="126"/>
      <c r="G8" s="126"/>
      <c r="H8" s="126"/>
      <c r="I8" s="126"/>
      <c r="J8" s="126"/>
      <c r="K8" s="126"/>
      <c r="L8" s="126"/>
      <c r="M8" s="126"/>
    </row>
    <row r="9" spans="1:13" x14ac:dyDescent="0.2">
      <c r="A9" s="126"/>
      <c r="B9" s="126"/>
      <c r="C9" s="126"/>
      <c r="D9" s="126"/>
      <c r="E9" s="126"/>
      <c r="F9" s="126"/>
      <c r="G9" s="126"/>
      <c r="H9" s="126"/>
      <c r="I9" s="126"/>
      <c r="J9" s="126"/>
      <c r="K9" s="126"/>
      <c r="L9" s="126"/>
      <c r="M9" s="126"/>
    </row>
    <row r="10" spans="1:13" x14ac:dyDescent="0.2">
      <c r="A10" s="126"/>
      <c r="B10" s="126"/>
      <c r="C10" s="126"/>
      <c r="D10" s="126"/>
      <c r="E10" s="126"/>
      <c r="F10" s="126"/>
      <c r="G10" s="126"/>
      <c r="H10" s="126"/>
      <c r="I10" s="126"/>
      <c r="J10" s="126"/>
      <c r="K10" s="126"/>
      <c r="L10" s="126"/>
      <c r="M10" s="126"/>
    </row>
    <row r="11" spans="1:13" x14ac:dyDescent="0.2">
      <c r="A11" s="126"/>
      <c r="B11" s="126"/>
      <c r="C11" s="126"/>
      <c r="D11" s="126"/>
      <c r="E11" s="126"/>
      <c r="F11" s="126"/>
      <c r="G11" s="126"/>
      <c r="H11" s="126"/>
      <c r="I11" s="126"/>
      <c r="J11" s="126"/>
      <c r="K11" s="126"/>
      <c r="L11" s="126"/>
      <c r="M11" s="126"/>
    </row>
    <row r="12" spans="1:13" x14ac:dyDescent="0.2">
      <c r="A12" s="126"/>
      <c r="B12" s="126"/>
      <c r="C12" s="126"/>
      <c r="D12" s="126"/>
      <c r="E12" s="126"/>
      <c r="F12" s="126"/>
      <c r="G12" s="126"/>
      <c r="H12" s="126"/>
      <c r="I12" s="126"/>
      <c r="J12" s="126"/>
      <c r="K12" s="126"/>
      <c r="L12" s="126"/>
      <c r="M12" s="126"/>
    </row>
    <row r="13" spans="1:13" x14ac:dyDescent="0.2">
      <c r="A13" s="126"/>
      <c r="B13" s="126"/>
      <c r="C13" s="126"/>
      <c r="D13" s="126"/>
      <c r="E13" s="126"/>
      <c r="F13" s="126"/>
      <c r="G13" s="126"/>
      <c r="H13" s="126"/>
      <c r="I13" s="126"/>
      <c r="J13" s="126"/>
      <c r="K13" s="126"/>
      <c r="L13" s="126"/>
      <c r="M13" s="126"/>
    </row>
    <row r="14" spans="1:13" x14ac:dyDescent="0.2">
      <c r="A14" s="126"/>
      <c r="B14" s="126"/>
      <c r="C14" s="126"/>
      <c r="D14" s="126"/>
      <c r="E14" s="126"/>
      <c r="F14" s="126"/>
      <c r="G14" s="126"/>
      <c r="H14" s="126"/>
      <c r="I14" s="126"/>
      <c r="J14" s="126"/>
      <c r="K14" s="126"/>
      <c r="L14" s="126"/>
      <c r="M14" s="126"/>
    </row>
    <row r="15" spans="1:13" x14ac:dyDescent="0.2">
      <c r="A15" s="126"/>
      <c r="B15" s="126"/>
      <c r="C15" s="126"/>
      <c r="D15" s="126"/>
      <c r="E15" s="126"/>
      <c r="F15" s="126"/>
      <c r="G15" s="126"/>
      <c r="H15" s="126"/>
      <c r="I15" s="126"/>
      <c r="J15" s="126"/>
      <c r="K15" s="126"/>
      <c r="L15" s="126"/>
      <c r="M15" s="126"/>
    </row>
    <row r="16" spans="1:13" x14ac:dyDescent="0.2">
      <c r="A16" s="126"/>
      <c r="B16" s="126"/>
      <c r="C16" s="126"/>
      <c r="D16" s="126"/>
      <c r="E16" s="126"/>
      <c r="F16" s="126"/>
      <c r="G16" s="126"/>
      <c r="H16" s="126"/>
      <c r="I16" s="126"/>
      <c r="J16" s="126"/>
      <c r="K16" s="126"/>
      <c r="L16" s="126"/>
      <c r="M16" s="126"/>
    </row>
    <row r="17" spans="1:13" x14ac:dyDescent="0.2">
      <c r="A17" s="126"/>
      <c r="B17" s="126"/>
      <c r="C17" s="126"/>
      <c r="D17" s="126"/>
      <c r="E17" s="126"/>
      <c r="F17" s="126"/>
      <c r="G17" s="126"/>
      <c r="H17" s="126"/>
      <c r="I17" s="126"/>
      <c r="J17" s="126"/>
      <c r="K17" s="126"/>
      <c r="L17" s="126"/>
      <c r="M17" s="126"/>
    </row>
    <row r="18" spans="1:13" x14ac:dyDescent="0.2">
      <c r="A18" s="126"/>
      <c r="B18" s="126"/>
      <c r="C18" s="126"/>
      <c r="D18" s="126"/>
      <c r="E18" s="126"/>
      <c r="F18" s="126"/>
      <c r="G18" s="126"/>
      <c r="H18" s="126"/>
      <c r="I18" s="126"/>
      <c r="J18" s="126"/>
      <c r="K18" s="126"/>
      <c r="L18" s="126"/>
      <c r="M18" s="126"/>
    </row>
    <row r="19" spans="1:13" x14ac:dyDescent="0.2">
      <c r="A19" s="126"/>
      <c r="B19" s="126"/>
      <c r="C19" s="126"/>
      <c r="D19" s="126"/>
      <c r="E19" s="126"/>
      <c r="F19" s="126"/>
      <c r="G19" s="126"/>
      <c r="H19" s="126"/>
      <c r="I19" s="126"/>
      <c r="J19" s="126"/>
      <c r="K19" s="126"/>
      <c r="L19" s="126"/>
      <c r="M19" s="126"/>
    </row>
    <row r="20" spans="1:13" x14ac:dyDescent="0.2">
      <c r="A20" s="126"/>
      <c r="B20" s="126"/>
      <c r="C20" s="126"/>
      <c r="D20" s="126"/>
      <c r="E20" s="126"/>
      <c r="F20" s="126"/>
      <c r="G20" s="126"/>
      <c r="H20" s="126"/>
      <c r="I20" s="126"/>
      <c r="J20" s="126"/>
      <c r="K20" s="126"/>
      <c r="L20" s="126"/>
      <c r="M20" s="126"/>
    </row>
    <row r="21" spans="1:13" x14ac:dyDescent="0.2">
      <c r="A21" s="126"/>
      <c r="B21" s="126"/>
      <c r="C21" s="126"/>
      <c r="D21" s="126"/>
      <c r="E21" s="126"/>
      <c r="F21" s="126"/>
      <c r="G21" s="126"/>
      <c r="H21" s="126"/>
      <c r="I21" s="126"/>
      <c r="J21" s="126"/>
      <c r="K21" s="126"/>
      <c r="L21" s="126"/>
      <c r="M21" s="126"/>
    </row>
    <row r="22" spans="1:13" x14ac:dyDescent="0.2">
      <c r="A22" s="126"/>
      <c r="B22" s="126"/>
      <c r="C22" s="126"/>
      <c r="D22" s="126"/>
      <c r="E22" s="126"/>
      <c r="F22" s="126"/>
      <c r="G22" s="126"/>
      <c r="H22" s="126"/>
      <c r="I22" s="126"/>
      <c r="J22" s="126"/>
      <c r="K22" s="126"/>
      <c r="L22" s="126"/>
      <c r="M22" s="126"/>
    </row>
    <row r="23" spans="1:13" x14ac:dyDescent="0.2">
      <c r="A23" s="126"/>
      <c r="B23" s="126"/>
      <c r="C23" s="126"/>
      <c r="D23" s="126"/>
      <c r="E23" s="126"/>
      <c r="F23" s="126"/>
      <c r="G23" s="126"/>
      <c r="H23" s="126"/>
      <c r="I23" s="126"/>
      <c r="J23" s="126"/>
      <c r="K23" s="126"/>
      <c r="L23" s="126"/>
      <c r="M23" s="126"/>
    </row>
    <row r="24" spans="1:13" x14ac:dyDescent="0.2">
      <c r="A24" s="126"/>
      <c r="B24" s="126"/>
      <c r="C24" s="126"/>
      <c r="D24" s="126"/>
      <c r="E24" s="126"/>
      <c r="F24" s="126"/>
      <c r="G24" s="126"/>
      <c r="H24" s="126"/>
      <c r="I24" s="126"/>
      <c r="J24" s="126"/>
      <c r="K24" s="126"/>
      <c r="L24" s="126"/>
      <c r="M24" s="126"/>
    </row>
    <row r="25" spans="1:13" x14ac:dyDescent="0.2">
      <c r="A25" s="126"/>
      <c r="B25" s="126"/>
      <c r="C25" s="126"/>
      <c r="D25" s="126"/>
      <c r="E25" s="126"/>
      <c r="F25" s="126"/>
      <c r="G25" s="126"/>
      <c r="H25" s="126"/>
      <c r="I25" s="126"/>
      <c r="J25" s="126"/>
      <c r="K25" s="126"/>
      <c r="L25" s="126"/>
      <c r="M25" s="126"/>
    </row>
    <row r="26" spans="1:13" x14ac:dyDescent="0.2">
      <c r="A26" s="126"/>
      <c r="B26" s="126"/>
      <c r="C26" s="126"/>
      <c r="D26" s="126"/>
      <c r="E26" s="126"/>
      <c r="F26" s="126"/>
      <c r="G26" s="126"/>
      <c r="H26" s="126"/>
      <c r="I26" s="126"/>
      <c r="J26" s="126"/>
      <c r="K26" s="126"/>
      <c r="L26" s="126"/>
      <c r="M26" s="126"/>
    </row>
    <row r="27" spans="1:13" x14ac:dyDescent="0.2">
      <c r="A27" s="126"/>
      <c r="B27" s="126"/>
      <c r="C27" s="126"/>
      <c r="D27" s="126"/>
      <c r="E27" s="126"/>
      <c r="F27" s="126"/>
      <c r="G27" s="126"/>
      <c r="H27" s="126"/>
      <c r="I27" s="126"/>
      <c r="J27" s="126"/>
      <c r="K27" s="126"/>
      <c r="L27" s="126"/>
      <c r="M27" s="126"/>
    </row>
    <row r="28" spans="1:13" x14ac:dyDescent="0.2">
      <c r="A28" s="126"/>
      <c r="B28" s="126"/>
      <c r="C28" s="126"/>
      <c r="D28" s="126"/>
      <c r="E28" s="126"/>
      <c r="F28" s="126"/>
      <c r="G28" s="126"/>
      <c r="H28" s="126"/>
      <c r="I28" s="126"/>
      <c r="J28" s="126"/>
      <c r="K28" s="126"/>
      <c r="L28" s="126"/>
      <c r="M28" s="126"/>
    </row>
    <row r="29" spans="1:13" x14ac:dyDescent="0.2">
      <c r="A29" s="126"/>
      <c r="B29" s="126"/>
      <c r="C29" s="126"/>
      <c r="D29" s="126"/>
      <c r="E29" s="126"/>
      <c r="F29" s="126"/>
      <c r="G29" s="126"/>
      <c r="H29" s="126"/>
      <c r="I29" s="126"/>
      <c r="J29" s="126"/>
      <c r="K29" s="126"/>
      <c r="L29" s="126"/>
      <c r="M29" s="126"/>
    </row>
    <row r="30" spans="1:13" x14ac:dyDescent="0.2">
      <c r="A30" s="126"/>
      <c r="B30" s="126"/>
      <c r="C30" s="126"/>
      <c r="D30" s="126"/>
      <c r="E30" s="126"/>
      <c r="F30" s="126"/>
      <c r="G30" s="126"/>
      <c r="H30" s="126"/>
      <c r="I30" s="126"/>
      <c r="J30" s="126"/>
      <c r="K30" s="126"/>
      <c r="L30" s="126"/>
      <c r="M30" s="126"/>
    </row>
    <row r="31" spans="1:13" x14ac:dyDescent="0.2">
      <c r="A31" s="126"/>
      <c r="B31" s="126"/>
      <c r="C31" s="126"/>
      <c r="D31" s="126"/>
      <c r="E31" s="126"/>
      <c r="F31" s="126"/>
      <c r="G31" s="126"/>
      <c r="H31" s="126"/>
      <c r="I31" s="126"/>
      <c r="J31" s="126"/>
      <c r="K31" s="126"/>
      <c r="L31" s="126"/>
      <c r="M31" s="126"/>
    </row>
    <row r="32" spans="1:13" x14ac:dyDescent="0.2">
      <c r="A32" s="126"/>
      <c r="B32" s="126"/>
      <c r="C32" s="126"/>
      <c r="D32" s="126"/>
      <c r="E32" s="126"/>
      <c r="F32" s="126"/>
      <c r="G32" s="126"/>
      <c r="H32" s="126"/>
      <c r="I32" s="126"/>
      <c r="J32" s="126"/>
      <c r="K32" s="126"/>
      <c r="L32" s="126"/>
      <c r="M32" s="126"/>
    </row>
    <row r="33" spans="1:13" x14ac:dyDescent="0.2">
      <c r="A33" s="126"/>
      <c r="B33" s="126"/>
      <c r="C33" s="126"/>
      <c r="D33" s="126"/>
      <c r="E33" s="126"/>
      <c r="F33" s="126"/>
      <c r="G33" s="126"/>
      <c r="H33" s="126"/>
      <c r="I33" s="126"/>
      <c r="J33" s="126"/>
      <c r="K33" s="126"/>
      <c r="L33" s="126"/>
      <c r="M33" s="126"/>
    </row>
    <row r="34" spans="1:13" x14ac:dyDescent="0.2">
      <c r="A34" s="126"/>
      <c r="B34" s="126"/>
      <c r="C34" s="126"/>
      <c r="D34" s="126"/>
      <c r="E34" s="126"/>
      <c r="F34" s="126"/>
      <c r="G34" s="126"/>
      <c r="H34" s="126"/>
      <c r="I34" s="126"/>
      <c r="J34" s="126"/>
      <c r="K34" s="126"/>
      <c r="L34" s="126"/>
      <c r="M34" s="126"/>
    </row>
    <row r="35" spans="1:13" x14ac:dyDescent="0.2">
      <c r="A35" s="126"/>
      <c r="B35" s="126"/>
      <c r="C35" s="126"/>
      <c r="D35" s="126"/>
      <c r="E35" s="126"/>
      <c r="F35" s="126"/>
      <c r="G35" s="126"/>
      <c r="H35" s="126"/>
      <c r="I35" s="126"/>
      <c r="J35" s="126"/>
      <c r="K35" s="126"/>
      <c r="L35" s="126"/>
      <c r="M35" s="126"/>
    </row>
    <row r="36" spans="1:13" x14ac:dyDescent="0.2">
      <c r="A36" s="126"/>
      <c r="B36" s="126"/>
      <c r="C36" s="126"/>
      <c r="D36" s="126"/>
      <c r="E36" s="126"/>
      <c r="F36" s="126"/>
      <c r="G36" s="126"/>
      <c r="H36" s="126"/>
      <c r="I36" s="126"/>
      <c r="J36" s="126"/>
      <c r="K36" s="126"/>
      <c r="L36" s="126"/>
      <c r="M36" s="126"/>
    </row>
    <row r="37" spans="1:13" x14ac:dyDescent="0.2">
      <c r="A37" s="126"/>
      <c r="B37" s="126"/>
      <c r="C37" s="126"/>
      <c r="D37" s="126"/>
      <c r="E37" s="126"/>
      <c r="F37" s="126"/>
      <c r="G37" s="126"/>
      <c r="H37" s="126"/>
      <c r="I37" s="126"/>
      <c r="J37" s="126"/>
      <c r="K37" s="126"/>
      <c r="L37" s="126"/>
      <c r="M37" s="126"/>
    </row>
    <row r="38" spans="1:13" x14ac:dyDescent="0.2">
      <c r="A38" s="126"/>
      <c r="B38" s="126"/>
      <c r="C38" s="126"/>
      <c r="D38" s="126"/>
      <c r="E38" s="126"/>
      <c r="F38" s="126"/>
      <c r="G38" s="126"/>
      <c r="H38" s="126"/>
      <c r="I38" s="126"/>
      <c r="J38" s="126"/>
      <c r="K38" s="126"/>
      <c r="L38" s="126"/>
      <c r="M38" s="126"/>
    </row>
    <row r="39" spans="1:13" x14ac:dyDescent="0.2">
      <c r="A39" s="126"/>
      <c r="B39" s="126"/>
      <c r="C39" s="126"/>
      <c r="D39" s="126"/>
      <c r="E39" s="126"/>
      <c r="F39" s="126"/>
      <c r="G39" s="126"/>
      <c r="H39" s="126"/>
      <c r="I39" s="126"/>
      <c r="J39" s="126"/>
      <c r="K39" s="126"/>
      <c r="L39" s="126"/>
      <c r="M39" s="126"/>
    </row>
    <row r="40" spans="1:13" x14ac:dyDescent="0.2">
      <c r="A40" s="126"/>
      <c r="B40" s="126"/>
      <c r="C40" s="126"/>
      <c r="D40" s="126"/>
      <c r="E40" s="126"/>
      <c r="F40" s="126"/>
      <c r="G40" s="126"/>
      <c r="H40" s="126"/>
      <c r="I40" s="126"/>
      <c r="J40" s="126"/>
      <c r="K40" s="126"/>
      <c r="L40" s="126"/>
      <c r="M40" s="126"/>
    </row>
    <row r="41" spans="1:13" x14ac:dyDescent="0.2">
      <c r="A41" s="126"/>
      <c r="B41" s="126"/>
      <c r="C41" s="126"/>
      <c r="D41" s="126"/>
      <c r="E41" s="126"/>
      <c r="F41" s="126"/>
      <c r="G41" s="126"/>
      <c r="H41" s="126"/>
      <c r="I41" s="126"/>
      <c r="J41" s="126"/>
      <c r="K41" s="126"/>
      <c r="L41" s="126"/>
      <c r="M41" s="126"/>
    </row>
    <row r="42" spans="1:13" x14ac:dyDescent="0.2">
      <c r="A42" s="126"/>
      <c r="B42" s="126"/>
      <c r="C42" s="126"/>
      <c r="D42" s="126"/>
      <c r="E42" s="126"/>
      <c r="F42" s="126"/>
      <c r="G42" s="126"/>
      <c r="H42" s="126"/>
      <c r="I42" s="126"/>
      <c r="J42" s="126"/>
      <c r="K42" s="126"/>
      <c r="L42" s="126"/>
      <c r="M42" s="126"/>
    </row>
    <row r="43" spans="1:13" x14ac:dyDescent="0.2">
      <c r="A43" s="126"/>
      <c r="B43" s="126"/>
      <c r="C43" s="126"/>
      <c r="D43" s="126"/>
      <c r="E43" s="126"/>
      <c r="F43" s="126"/>
      <c r="G43" s="126"/>
      <c r="H43" s="126"/>
      <c r="I43" s="126"/>
      <c r="J43" s="126"/>
      <c r="K43" s="126"/>
      <c r="L43" s="126"/>
      <c r="M43" s="126"/>
    </row>
    <row r="44" spans="1:13" x14ac:dyDescent="0.2">
      <c r="A44" s="126"/>
      <c r="B44" s="126"/>
      <c r="C44" s="126"/>
      <c r="D44" s="126"/>
      <c r="E44" s="126"/>
      <c r="F44" s="126"/>
      <c r="G44" s="126"/>
      <c r="H44" s="126"/>
      <c r="I44" s="126"/>
      <c r="J44" s="126"/>
      <c r="K44" s="126"/>
      <c r="L44" s="126"/>
      <c r="M44" s="126"/>
    </row>
    <row r="45" spans="1:13" x14ac:dyDescent="0.2">
      <c r="A45" s="126"/>
      <c r="B45" s="126"/>
      <c r="C45" s="126"/>
      <c r="D45" s="126"/>
      <c r="E45" s="126"/>
      <c r="F45" s="126"/>
      <c r="G45" s="126"/>
      <c r="H45" s="126"/>
      <c r="I45" s="126"/>
      <c r="J45" s="126"/>
      <c r="K45" s="126"/>
      <c r="L45" s="126"/>
      <c r="M45" s="126"/>
    </row>
    <row r="46" spans="1:13" x14ac:dyDescent="0.2">
      <c r="A46" s="126"/>
      <c r="B46" s="126"/>
      <c r="C46" s="126"/>
      <c r="D46" s="126"/>
      <c r="E46" s="126"/>
      <c r="F46" s="126"/>
      <c r="G46" s="126"/>
      <c r="H46" s="126"/>
      <c r="I46" s="126"/>
      <c r="J46" s="126"/>
      <c r="K46" s="126"/>
      <c r="L46" s="126"/>
      <c r="M46" s="126"/>
    </row>
    <row r="47" spans="1:13" x14ac:dyDescent="0.2">
      <c r="A47" s="126"/>
      <c r="B47" s="126"/>
      <c r="C47" s="126"/>
      <c r="D47" s="126"/>
      <c r="E47" s="126"/>
      <c r="F47" s="126"/>
      <c r="G47" s="126"/>
      <c r="H47" s="126"/>
      <c r="I47" s="126"/>
      <c r="J47" s="126"/>
      <c r="K47" s="126"/>
      <c r="L47" s="126"/>
      <c r="M47" s="126"/>
    </row>
    <row r="48" spans="1:13" x14ac:dyDescent="0.2">
      <c r="A48" s="126"/>
      <c r="B48" s="126"/>
      <c r="C48" s="126"/>
      <c r="D48" s="126"/>
      <c r="E48" s="126"/>
      <c r="F48" s="126"/>
      <c r="G48" s="126"/>
      <c r="H48" s="126"/>
      <c r="I48" s="126"/>
      <c r="J48" s="126"/>
      <c r="K48" s="126"/>
      <c r="L48" s="126"/>
      <c r="M48" s="126"/>
    </row>
    <row r="49" spans="1:13" x14ac:dyDescent="0.2">
      <c r="A49" s="126"/>
      <c r="B49" s="126"/>
      <c r="C49" s="126"/>
      <c r="D49" s="126"/>
      <c r="E49" s="126"/>
      <c r="F49" s="126"/>
      <c r="G49" s="126"/>
      <c r="H49" s="126"/>
      <c r="I49" s="126"/>
      <c r="J49" s="126"/>
      <c r="K49" s="126"/>
      <c r="L49" s="126"/>
      <c r="M49" s="126"/>
    </row>
    <row r="50" spans="1:13" x14ac:dyDescent="0.2">
      <c r="A50" s="126"/>
      <c r="B50" s="126"/>
      <c r="C50" s="126"/>
      <c r="D50" s="126"/>
      <c r="E50" s="126"/>
      <c r="F50" s="126"/>
      <c r="G50" s="126"/>
      <c r="H50" s="126"/>
      <c r="I50" s="126"/>
      <c r="J50" s="126"/>
      <c r="K50" s="126"/>
      <c r="L50" s="126"/>
      <c r="M50" s="126"/>
    </row>
    <row r="51" spans="1:13" x14ac:dyDescent="0.2">
      <c r="A51" s="126"/>
      <c r="B51" s="126"/>
      <c r="C51" s="126"/>
      <c r="D51" s="126"/>
      <c r="E51" s="126"/>
      <c r="F51" s="126"/>
      <c r="G51" s="126"/>
      <c r="H51" s="126"/>
      <c r="I51" s="126"/>
      <c r="J51" s="126"/>
      <c r="K51" s="126"/>
      <c r="L51" s="126"/>
      <c r="M51" s="126"/>
    </row>
    <row r="52" spans="1:13" x14ac:dyDescent="0.2">
      <c r="A52" s="126"/>
      <c r="B52" s="126"/>
      <c r="C52" s="126"/>
      <c r="D52" s="126"/>
      <c r="E52" s="126"/>
      <c r="F52" s="126"/>
      <c r="G52" s="126"/>
      <c r="H52" s="126"/>
      <c r="I52" s="126"/>
      <c r="J52" s="126"/>
      <c r="K52" s="126"/>
      <c r="L52" s="126"/>
      <c r="M52" s="126"/>
    </row>
    <row r="53" spans="1:13" x14ac:dyDescent="0.2">
      <c r="A53" s="126"/>
      <c r="B53" s="126"/>
      <c r="C53" s="126"/>
      <c r="D53" s="126"/>
      <c r="E53" s="126"/>
      <c r="F53" s="126"/>
      <c r="G53" s="126"/>
      <c r="H53" s="126"/>
      <c r="I53" s="126"/>
      <c r="J53" s="126"/>
      <c r="K53" s="126"/>
      <c r="L53" s="126"/>
      <c r="M53" s="126"/>
    </row>
    <row r="54" spans="1:13" x14ac:dyDescent="0.2">
      <c r="A54" s="126"/>
      <c r="B54" s="126"/>
      <c r="C54" s="126"/>
      <c r="D54" s="126"/>
      <c r="E54" s="126"/>
      <c r="F54" s="126"/>
      <c r="G54" s="126"/>
      <c r="H54" s="126"/>
      <c r="I54" s="126"/>
      <c r="J54" s="126"/>
      <c r="K54" s="126"/>
      <c r="L54" s="126"/>
      <c r="M54" s="126"/>
    </row>
    <row r="55" spans="1:13" x14ac:dyDescent="0.2">
      <c r="A55" s="126"/>
      <c r="B55" s="126"/>
      <c r="C55" s="126"/>
      <c r="D55" s="126"/>
      <c r="E55" s="126"/>
      <c r="F55" s="126"/>
      <c r="G55" s="126"/>
      <c r="H55" s="126"/>
      <c r="I55" s="126"/>
      <c r="J55" s="126"/>
      <c r="K55" s="126"/>
      <c r="L55" s="126"/>
      <c r="M55" s="126"/>
    </row>
    <row r="56" spans="1:13" x14ac:dyDescent="0.2">
      <c r="A56" s="126"/>
      <c r="B56" s="126"/>
      <c r="C56" s="126"/>
      <c r="D56" s="126"/>
      <c r="E56" s="126"/>
      <c r="F56" s="126"/>
      <c r="G56" s="126"/>
      <c r="H56" s="126"/>
      <c r="I56" s="126"/>
      <c r="J56" s="126"/>
      <c r="K56" s="126"/>
      <c r="L56" s="126"/>
      <c r="M56" s="126"/>
    </row>
    <row r="57" spans="1:13" x14ac:dyDescent="0.2">
      <c r="A57" s="126"/>
      <c r="B57" s="126"/>
      <c r="C57" s="126"/>
      <c r="D57" s="126"/>
      <c r="E57" s="126"/>
      <c r="F57" s="126"/>
      <c r="G57" s="126"/>
      <c r="H57" s="126"/>
      <c r="I57" s="126"/>
      <c r="J57" s="126"/>
      <c r="K57" s="126"/>
      <c r="L57" s="126"/>
      <c r="M57" s="126"/>
    </row>
    <row r="58" spans="1:13" x14ac:dyDescent="0.2">
      <c r="A58" s="126"/>
      <c r="B58" s="126"/>
      <c r="C58" s="126"/>
      <c r="D58" s="126"/>
      <c r="E58" s="126"/>
      <c r="F58" s="126"/>
      <c r="G58" s="126"/>
      <c r="H58" s="126"/>
      <c r="I58" s="126"/>
      <c r="J58" s="126"/>
      <c r="K58" s="126"/>
      <c r="L58" s="126"/>
      <c r="M58" s="126"/>
    </row>
    <row r="59" spans="1:13" x14ac:dyDescent="0.2">
      <c r="A59" s="126"/>
      <c r="B59" s="126"/>
      <c r="C59" s="126"/>
      <c r="D59" s="126"/>
      <c r="E59" s="126"/>
      <c r="F59" s="126"/>
      <c r="G59" s="126"/>
      <c r="H59" s="126"/>
      <c r="I59" s="126"/>
      <c r="J59" s="126"/>
      <c r="K59" s="126"/>
      <c r="L59" s="126"/>
      <c r="M59" s="126"/>
    </row>
    <row r="60" spans="1:13" x14ac:dyDescent="0.2">
      <c r="A60" s="126"/>
      <c r="B60" s="126"/>
      <c r="C60" s="126"/>
      <c r="D60" s="126"/>
      <c r="E60" s="126"/>
      <c r="F60" s="126"/>
      <c r="G60" s="126"/>
      <c r="H60" s="126"/>
      <c r="I60" s="126"/>
      <c r="J60" s="126"/>
      <c r="K60" s="126"/>
      <c r="L60" s="126"/>
      <c r="M60" s="126"/>
    </row>
    <row r="61" spans="1:13" x14ac:dyDescent="0.2">
      <c r="A61" s="126"/>
      <c r="B61" s="126"/>
      <c r="C61" s="126"/>
      <c r="D61" s="126"/>
      <c r="E61" s="126"/>
      <c r="F61" s="126"/>
      <c r="G61" s="126"/>
      <c r="H61" s="126"/>
      <c r="I61" s="126"/>
      <c r="J61" s="126"/>
      <c r="K61" s="126"/>
      <c r="L61" s="126"/>
      <c r="M61" s="126"/>
    </row>
    <row r="62" spans="1:13" x14ac:dyDescent="0.2">
      <c r="A62" s="126"/>
      <c r="B62" s="126"/>
      <c r="C62" s="126"/>
      <c r="D62" s="126"/>
      <c r="E62" s="126"/>
      <c r="F62" s="126"/>
      <c r="G62" s="126"/>
      <c r="H62" s="126"/>
      <c r="I62" s="126"/>
      <c r="J62" s="126"/>
      <c r="K62" s="126"/>
      <c r="L62" s="126"/>
      <c r="M62" s="126"/>
    </row>
    <row r="63" spans="1:13" x14ac:dyDescent="0.2">
      <c r="A63" s="126"/>
      <c r="B63" s="126"/>
      <c r="C63" s="126"/>
      <c r="D63" s="126"/>
      <c r="E63" s="126"/>
      <c r="F63" s="126"/>
      <c r="G63" s="126"/>
      <c r="H63" s="126"/>
      <c r="I63" s="126"/>
      <c r="J63" s="126"/>
      <c r="K63" s="126"/>
      <c r="L63" s="126"/>
      <c r="M63" s="126"/>
    </row>
    <row r="64" spans="1:13" x14ac:dyDescent="0.2">
      <c r="A64" s="126"/>
      <c r="B64" s="126"/>
      <c r="C64" s="126"/>
      <c r="D64" s="126"/>
      <c r="E64" s="126"/>
      <c r="F64" s="126"/>
      <c r="G64" s="126"/>
      <c r="H64" s="126"/>
      <c r="I64" s="126"/>
      <c r="J64" s="126"/>
      <c r="K64" s="126"/>
      <c r="L64" s="126"/>
      <c r="M64" s="126"/>
    </row>
    <row r="65" spans="1:13" x14ac:dyDescent="0.2">
      <c r="A65" s="126"/>
      <c r="B65" s="126"/>
      <c r="C65" s="126"/>
      <c r="D65" s="126"/>
      <c r="E65" s="126"/>
      <c r="F65" s="126"/>
      <c r="G65" s="126"/>
      <c r="H65" s="126"/>
      <c r="I65" s="126"/>
      <c r="J65" s="126"/>
      <c r="K65" s="126"/>
      <c r="L65" s="126"/>
      <c r="M65" s="126"/>
    </row>
    <row r="66" spans="1:13" x14ac:dyDescent="0.2">
      <c r="A66" s="126"/>
      <c r="B66" s="126"/>
      <c r="C66" s="126"/>
      <c r="D66" s="126"/>
      <c r="E66" s="126"/>
      <c r="F66" s="126"/>
      <c r="G66" s="126"/>
      <c r="H66" s="126"/>
      <c r="I66" s="126"/>
      <c r="J66" s="126"/>
      <c r="K66" s="126"/>
      <c r="L66" s="126"/>
      <c r="M66" s="126"/>
    </row>
    <row r="67" spans="1:13" x14ac:dyDescent="0.2">
      <c r="A67" s="126"/>
      <c r="B67" s="126"/>
      <c r="C67" s="126"/>
      <c r="D67" s="126"/>
      <c r="E67" s="126"/>
      <c r="F67" s="126"/>
      <c r="G67" s="126"/>
      <c r="H67" s="126"/>
      <c r="I67" s="126"/>
      <c r="J67" s="126"/>
      <c r="K67" s="126"/>
      <c r="L67" s="126"/>
      <c r="M67" s="126"/>
    </row>
    <row r="68" spans="1:13" x14ac:dyDescent="0.2">
      <c r="A68" s="126"/>
      <c r="B68" s="126"/>
      <c r="C68" s="126"/>
      <c r="D68" s="126"/>
      <c r="E68" s="126"/>
      <c r="F68" s="126"/>
      <c r="G68" s="126"/>
      <c r="H68" s="126"/>
      <c r="I68" s="126"/>
      <c r="J68" s="126"/>
      <c r="K68" s="126"/>
      <c r="L68" s="126"/>
      <c r="M68" s="126"/>
    </row>
    <row r="69" spans="1:13" x14ac:dyDescent="0.2">
      <c r="A69" s="126"/>
      <c r="B69" s="126"/>
      <c r="C69" s="126"/>
      <c r="D69" s="126"/>
      <c r="E69" s="126"/>
      <c r="F69" s="126"/>
      <c r="G69" s="126"/>
      <c r="H69" s="126"/>
      <c r="I69" s="126"/>
      <c r="J69" s="126"/>
      <c r="K69" s="126"/>
      <c r="L69" s="126"/>
      <c r="M69" s="126"/>
    </row>
    <row r="70" spans="1:13" x14ac:dyDescent="0.2">
      <c r="A70" s="126"/>
      <c r="B70" s="126"/>
      <c r="C70" s="126"/>
      <c r="D70" s="126"/>
      <c r="E70" s="126"/>
      <c r="F70" s="126"/>
      <c r="G70" s="126"/>
      <c r="H70" s="126"/>
      <c r="I70" s="126"/>
      <c r="J70" s="126"/>
      <c r="K70" s="126"/>
      <c r="L70" s="126"/>
      <c r="M70" s="126"/>
    </row>
    <row r="71" spans="1:13" x14ac:dyDescent="0.2">
      <c r="A71" s="126"/>
      <c r="B71" s="126"/>
      <c r="C71" s="126"/>
      <c r="D71" s="126"/>
      <c r="E71" s="126"/>
      <c r="F71" s="126"/>
      <c r="G71" s="126"/>
      <c r="H71" s="126"/>
      <c r="I71" s="126"/>
      <c r="J71" s="126"/>
      <c r="K71" s="126"/>
      <c r="L71" s="126"/>
      <c r="M71" s="126"/>
    </row>
    <row r="72" spans="1:13" x14ac:dyDescent="0.2">
      <c r="A72" s="126"/>
      <c r="B72" s="126"/>
      <c r="C72" s="126"/>
      <c r="D72" s="126"/>
      <c r="E72" s="126"/>
      <c r="F72" s="126"/>
      <c r="G72" s="126"/>
      <c r="H72" s="126"/>
      <c r="I72" s="126"/>
      <c r="J72" s="126"/>
      <c r="K72" s="126"/>
      <c r="L72" s="126"/>
      <c r="M72" s="126"/>
    </row>
    <row r="73" spans="1:13" x14ac:dyDescent="0.2">
      <c r="A73" s="126"/>
      <c r="B73" s="126"/>
      <c r="C73" s="126"/>
      <c r="D73" s="126"/>
      <c r="E73" s="126"/>
      <c r="F73" s="126"/>
      <c r="G73" s="126"/>
      <c r="H73" s="126"/>
      <c r="I73" s="126"/>
      <c r="J73" s="126"/>
      <c r="K73" s="126"/>
      <c r="L73" s="126"/>
      <c r="M73" s="126"/>
    </row>
    <row r="74" spans="1:13" x14ac:dyDescent="0.2">
      <c r="A74" s="126"/>
      <c r="B74" s="126"/>
      <c r="C74" s="126"/>
      <c r="D74" s="126"/>
      <c r="E74" s="126"/>
      <c r="F74" s="126"/>
      <c r="G74" s="126"/>
      <c r="H74" s="126"/>
      <c r="I74" s="126"/>
      <c r="J74" s="126"/>
      <c r="K74" s="126"/>
      <c r="L74" s="126"/>
      <c r="M74" s="126"/>
    </row>
    <row r="75" spans="1:13" x14ac:dyDescent="0.2">
      <c r="A75" s="126"/>
      <c r="B75" s="126"/>
      <c r="C75" s="126"/>
      <c r="D75" s="126"/>
      <c r="E75" s="126"/>
      <c r="F75" s="126"/>
      <c r="G75" s="126"/>
      <c r="H75" s="126"/>
      <c r="I75" s="126"/>
      <c r="J75" s="126"/>
      <c r="K75" s="126"/>
      <c r="L75" s="126"/>
      <c r="M75" s="126"/>
    </row>
    <row r="76" spans="1:13" x14ac:dyDescent="0.2">
      <c r="A76" s="126"/>
      <c r="B76" s="126"/>
      <c r="C76" s="126"/>
      <c r="D76" s="126"/>
      <c r="E76" s="126"/>
      <c r="F76" s="126"/>
      <c r="G76" s="126"/>
      <c r="H76" s="126"/>
      <c r="I76" s="126"/>
      <c r="J76" s="126"/>
      <c r="K76" s="126"/>
      <c r="L76" s="126"/>
      <c r="M76" s="126"/>
    </row>
    <row r="77" spans="1:13" x14ac:dyDescent="0.2">
      <c r="A77" s="126"/>
      <c r="B77" s="126"/>
      <c r="C77" s="126"/>
      <c r="D77" s="126"/>
      <c r="E77" s="126"/>
      <c r="F77" s="126"/>
      <c r="G77" s="126"/>
      <c r="H77" s="126"/>
      <c r="I77" s="126"/>
      <c r="J77" s="126"/>
      <c r="K77" s="126"/>
      <c r="L77" s="126"/>
      <c r="M77" s="126"/>
    </row>
    <row r="78" spans="1:13" x14ac:dyDescent="0.2">
      <c r="A78" s="126"/>
      <c r="B78" s="126"/>
      <c r="C78" s="126"/>
      <c r="D78" s="126"/>
      <c r="E78" s="126"/>
      <c r="F78" s="126"/>
      <c r="G78" s="126"/>
      <c r="H78" s="126"/>
      <c r="I78" s="126"/>
      <c r="J78" s="126"/>
      <c r="K78" s="126"/>
      <c r="L78" s="126"/>
      <c r="M78" s="126"/>
    </row>
    <row r="79" spans="1:13" x14ac:dyDescent="0.2">
      <c r="A79" s="126"/>
      <c r="B79" s="126"/>
      <c r="C79" s="126"/>
      <c r="D79" s="126"/>
      <c r="E79" s="126"/>
      <c r="F79" s="126"/>
      <c r="G79" s="126"/>
      <c r="H79" s="126"/>
      <c r="I79" s="126"/>
      <c r="J79" s="126"/>
      <c r="K79" s="126"/>
      <c r="L79" s="126"/>
      <c r="M79" s="126"/>
    </row>
    <row r="80" spans="1:13" x14ac:dyDescent="0.2">
      <c r="A80" s="126"/>
      <c r="B80" s="126"/>
      <c r="C80" s="126"/>
      <c r="D80" s="126"/>
      <c r="E80" s="126"/>
      <c r="F80" s="126"/>
      <c r="G80" s="126"/>
      <c r="H80" s="126"/>
      <c r="I80" s="126"/>
      <c r="J80" s="126"/>
      <c r="K80" s="126"/>
      <c r="L80" s="126"/>
      <c r="M80" s="126"/>
    </row>
    <row r="81" spans="1:13" x14ac:dyDescent="0.2">
      <c r="A81" s="126"/>
      <c r="B81" s="126"/>
      <c r="C81" s="126"/>
      <c r="D81" s="126"/>
      <c r="E81" s="126"/>
      <c r="F81" s="126"/>
      <c r="G81" s="126"/>
      <c r="H81" s="126"/>
      <c r="I81" s="126"/>
      <c r="J81" s="126"/>
      <c r="K81" s="126"/>
      <c r="L81" s="126"/>
      <c r="M81" s="126"/>
    </row>
    <row r="82" spans="1:13" x14ac:dyDescent="0.2">
      <c r="A82" s="126"/>
      <c r="B82" s="126"/>
      <c r="C82" s="126"/>
      <c r="D82" s="126"/>
      <c r="E82" s="126"/>
      <c r="F82" s="126"/>
      <c r="G82" s="126"/>
      <c r="H82" s="126"/>
      <c r="I82" s="126"/>
      <c r="J82" s="126"/>
      <c r="K82" s="126"/>
      <c r="L82" s="126"/>
      <c r="M82" s="126"/>
    </row>
    <row r="83" spans="1:13" x14ac:dyDescent="0.2">
      <c r="A83" s="126"/>
      <c r="B83" s="126"/>
      <c r="C83" s="126"/>
      <c r="D83" s="126"/>
      <c r="E83" s="126"/>
      <c r="F83" s="126"/>
      <c r="G83" s="126"/>
      <c r="H83" s="126"/>
      <c r="I83" s="126"/>
      <c r="J83" s="126"/>
      <c r="K83" s="126"/>
      <c r="L83" s="126"/>
      <c r="M83" s="126"/>
    </row>
    <row r="84" spans="1:13" x14ac:dyDescent="0.2">
      <c r="A84" s="126"/>
      <c r="B84" s="126"/>
      <c r="C84" s="126"/>
      <c r="D84" s="126"/>
      <c r="E84" s="126"/>
      <c r="F84" s="126"/>
      <c r="G84" s="126"/>
      <c r="H84" s="126"/>
      <c r="I84" s="126"/>
      <c r="J84" s="126"/>
      <c r="K84" s="126"/>
      <c r="L84" s="126"/>
      <c r="M84" s="126"/>
    </row>
    <row r="85" spans="1:13" x14ac:dyDescent="0.2">
      <c r="A85" s="126"/>
      <c r="B85" s="126"/>
      <c r="C85" s="126"/>
      <c r="D85" s="126"/>
      <c r="E85" s="126"/>
      <c r="F85" s="126"/>
      <c r="G85" s="126"/>
      <c r="H85" s="126"/>
      <c r="I85" s="126"/>
      <c r="J85" s="126"/>
      <c r="K85" s="126"/>
      <c r="L85" s="126"/>
      <c r="M85" s="126"/>
    </row>
    <row r="86" spans="1:13" x14ac:dyDescent="0.2">
      <c r="A86" s="126"/>
      <c r="B86" s="126"/>
      <c r="C86" s="126"/>
      <c r="D86" s="126"/>
      <c r="E86" s="126"/>
      <c r="F86" s="126"/>
      <c r="G86" s="126"/>
      <c r="H86" s="126"/>
      <c r="I86" s="126"/>
      <c r="J86" s="126"/>
      <c r="K86" s="126"/>
      <c r="L86" s="126"/>
      <c r="M86" s="126"/>
    </row>
    <row r="87" spans="1:13" x14ac:dyDescent="0.2">
      <c r="A87" s="126"/>
      <c r="B87" s="126"/>
      <c r="C87" s="126"/>
      <c r="D87" s="126"/>
      <c r="E87" s="126"/>
      <c r="F87" s="126"/>
      <c r="G87" s="126"/>
      <c r="H87" s="126"/>
      <c r="I87" s="126"/>
      <c r="J87" s="126"/>
      <c r="K87" s="126"/>
      <c r="L87" s="126"/>
      <c r="M87" s="126"/>
    </row>
    <row r="88" spans="1:13" x14ac:dyDescent="0.2">
      <c r="A88" s="126"/>
      <c r="B88" s="126"/>
      <c r="C88" s="126"/>
      <c r="D88" s="126"/>
      <c r="E88" s="126"/>
      <c r="F88" s="126"/>
      <c r="G88" s="126"/>
      <c r="H88" s="126"/>
      <c r="I88" s="126"/>
      <c r="J88" s="126"/>
      <c r="K88" s="126"/>
      <c r="L88" s="126"/>
      <c r="M88" s="126"/>
    </row>
    <row r="89" spans="1:13" x14ac:dyDescent="0.2">
      <c r="A89" s="126"/>
      <c r="B89" s="126"/>
      <c r="C89" s="126"/>
      <c r="D89" s="126"/>
      <c r="E89" s="126"/>
      <c r="F89" s="126"/>
      <c r="G89" s="126"/>
      <c r="H89" s="126"/>
      <c r="I89" s="126"/>
      <c r="J89" s="126"/>
      <c r="K89" s="126"/>
      <c r="L89" s="126"/>
      <c r="M89" s="126"/>
    </row>
    <row r="90" spans="1:13" x14ac:dyDescent="0.2">
      <c r="A90" s="126"/>
      <c r="B90" s="126"/>
      <c r="C90" s="126"/>
      <c r="D90" s="126"/>
      <c r="E90" s="126"/>
      <c r="F90" s="126"/>
      <c r="G90" s="126"/>
      <c r="H90" s="126"/>
      <c r="I90" s="126"/>
      <c r="J90" s="126"/>
      <c r="K90" s="126"/>
      <c r="L90" s="126"/>
      <c r="M90" s="126"/>
    </row>
    <row r="91" spans="1:13" x14ac:dyDescent="0.2">
      <c r="A91" s="126"/>
      <c r="B91" s="126"/>
      <c r="C91" s="126"/>
      <c r="D91" s="126"/>
      <c r="E91" s="126"/>
      <c r="F91" s="126"/>
      <c r="G91" s="126"/>
      <c r="H91" s="126"/>
      <c r="I91" s="126"/>
      <c r="J91" s="126"/>
      <c r="K91" s="126"/>
      <c r="L91" s="126"/>
      <c r="M91" s="126"/>
    </row>
    <row r="92" spans="1:13" x14ac:dyDescent="0.2">
      <c r="A92" s="126"/>
      <c r="B92" s="126"/>
      <c r="C92" s="126"/>
      <c r="D92" s="126"/>
      <c r="E92" s="126"/>
      <c r="F92" s="126"/>
      <c r="G92" s="126"/>
      <c r="H92" s="126"/>
      <c r="I92" s="126"/>
      <c r="J92" s="126"/>
      <c r="K92" s="126"/>
      <c r="L92" s="126"/>
      <c r="M92" s="126"/>
    </row>
    <row r="93" spans="1:13" x14ac:dyDescent="0.2">
      <c r="A93" s="126"/>
      <c r="B93" s="126"/>
      <c r="C93" s="126"/>
      <c r="D93" s="126"/>
      <c r="E93" s="126"/>
      <c r="F93" s="126"/>
      <c r="G93" s="126"/>
      <c r="H93" s="126"/>
      <c r="I93" s="126"/>
      <c r="J93" s="126"/>
      <c r="K93" s="126"/>
      <c r="L93" s="126"/>
      <c r="M93" s="126"/>
    </row>
    <row r="94" spans="1:13" x14ac:dyDescent="0.2">
      <c r="A94" s="126"/>
      <c r="B94" s="126"/>
      <c r="C94" s="126"/>
      <c r="D94" s="126"/>
      <c r="E94" s="126"/>
      <c r="F94" s="126"/>
      <c r="G94" s="126"/>
      <c r="H94" s="126"/>
      <c r="I94" s="126"/>
      <c r="J94" s="126"/>
      <c r="K94" s="126"/>
      <c r="L94" s="126"/>
      <c r="M94" s="126"/>
    </row>
    <row r="95" spans="1:13" x14ac:dyDescent="0.2">
      <c r="A95" s="126"/>
      <c r="B95" s="126"/>
      <c r="C95" s="126"/>
      <c r="D95" s="126"/>
      <c r="E95" s="126"/>
      <c r="F95" s="126"/>
      <c r="G95" s="126"/>
      <c r="H95" s="126"/>
      <c r="I95" s="126"/>
      <c r="J95" s="126"/>
      <c r="K95" s="126"/>
      <c r="L95" s="126"/>
      <c r="M95" s="126"/>
    </row>
    <row r="96" spans="1:13" x14ac:dyDescent="0.2">
      <c r="A96" s="126"/>
      <c r="B96" s="126"/>
      <c r="C96" s="126"/>
      <c r="D96" s="126"/>
      <c r="E96" s="126"/>
      <c r="F96" s="126"/>
      <c r="G96" s="126"/>
      <c r="H96" s="126"/>
      <c r="I96" s="126"/>
      <c r="J96" s="126"/>
      <c r="K96" s="126"/>
      <c r="L96" s="126"/>
      <c r="M96" s="126"/>
    </row>
    <row r="97" spans="1:13" x14ac:dyDescent="0.2">
      <c r="A97" s="126"/>
      <c r="B97" s="126"/>
      <c r="C97" s="126"/>
      <c r="D97" s="126"/>
      <c r="E97" s="126"/>
      <c r="F97" s="126"/>
      <c r="G97" s="126"/>
      <c r="H97" s="126"/>
      <c r="I97" s="126"/>
      <c r="J97" s="126"/>
      <c r="K97" s="126"/>
      <c r="L97" s="126"/>
      <c r="M97" s="126"/>
    </row>
    <row r="98" spans="1:13" x14ac:dyDescent="0.2">
      <c r="A98" s="126"/>
      <c r="B98" s="126"/>
      <c r="C98" s="126"/>
      <c r="D98" s="126"/>
      <c r="E98" s="126"/>
      <c r="F98" s="126"/>
      <c r="G98" s="126"/>
      <c r="H98" s="126"/>
      <c r="I98" s="126"/>
      <c r="J98" s="126"/>
      <c r="K98" s="126"/>
      <c r="L98" s="126"/>
      <c r="M98" s="126"/>
    </row>
    <row r="99" spans="1:13" x14ac:dyDescent="0.2">
      <c r="A99" s="126"/>
      <c r="B99" s="126"/>
      <c r="C99" s="126"/>
      <c r="D99" s="126"/>
      <c r="E99" s="126"/>
      <c r="F99" s="126"/>
      <c r="G99" s="126"/>
      <c r="H99" s="126"/>
      <c r="I99" s="126"/>
      <c r="J99" s="126"/>
      <c r="K99" s="126"/>
      <c r="L99" s="126"/>
      <c r="M99" s="126"/>
    </row>
    <row r="100" spans="1:13" x14ac:dyDescent="0.2">
      <c r="A100" s="126"/>
      <c r="B100" s="126"/>
      <c r="C100" s="126"/>
      <c r="D100" s="126"/>
      <c r="E100" s="126"/>
      <c r="F100" s="126"/>
      <c r="G100" s="126"/>
      <c r="H100" s="126"/>
      <c r="I100" s="126"/>
      <c r="J100" s="126"/>
      <c r="K100" s="126"/>
      <c r="L100" s="126"/>
      <c r="M100" s="126"/>
    </row>
    <row r="101" spans="1:13" x14ac:dyDescent="0.2">
      <c r="A101" s="126"/>
      <c r="B101" s="126"/>
      <c r="C101" s="126"/>
      <c r="D101" s="126"/>
      <c r="E101" s="126"/>
      <c r="F101" s="126"/>
      <c r="G101" s="126"/>
      <c r="H101" s="126"/>
      <c r="I101" s="126"/>
      <c r="J101" s="126"/>
      <c r="K101" s="126"/>
      <c r="L101" s="126"/>
      <c r="M101" s="126"/>
    </row>
    <row r="102" spans="1:13" x14ac:dyDescent="0.2">
      <c r="A102" s="126"/>
      <c r="B102" s="126"/>
      <c r="C102" s="126"/>
      <c r="D102" s="126"/>
      <c r="E102" s="126"/>
      <c r="F102" s="126"/>
      <c r="G102" s="126"/>
      <c r="H102" s="126"/>
      <c r="I102" s="126"/>
      <c r="J102" s="126"/>
      <c r="K102" s="126"/>
      <c r="L102" s="126"/>
      <c r="M102" s="126"/>
    </row>
    <row r="103" spans="1:13" x14ac:dyDescent="0.2">
      <c r="A103" s="126"/>
      <c r="B103" s="126"/>
      <c r="C103" s="126"/>
      <c r="D103" s="126"/>
      <c r="E103" s="126"/>
      <c r="F103" s="126"/>
      <c r="G103" s="126"/>
      <c r="H103" s="126"/>
      <c r="I103" s="126"/>
      <c r="J103" s="126"/>
      <c r="K103" s="126"/>
      <c r="L103" s="126"/>
      <c r="M103" s="126"/>
    </row>
    <row r="104" spans="1:13" x14ac:dyDescent="0.2">
      <c r="A104" s="126"/>
      <c r="B104" s="126"/>
      <c r="C104" s="126"/>
      <c r="D104" s="126"/>
      <c r="E104" s="126"/>
      <c r="F104" s="126"/>
      <c r="G104" s="126"/>
      <c r="H104" s="126"/>
      <c r="I104" s="126"/>
      <c r="J104" s="126"/>
      <c r="K104" s="126"/>
      <c r="L104" s="126"/>
      <c r="M104" s="126"/>
    </row>
    <row r="105" spans="1:13" x14ac:dyDescent="0.2">
      <c r="A105" s="164"/>
      <c r="B105" s="165"/>
      <c r="C105" s="165"/>
      <c r="D105" s="165"/>
      <c r="E105" s="165"/>
      <c r="F105" s="165"/>
      <c r="G105" s="165"/>
      <c r="H105" s="165"/>
      <c r="I105" s="165"/>
      <c r="J105" s="165"/>
      <c r="K105" s="165"/>
      <c r="L105" s="165"/>
      <c r="M105" s="166"/>
    </row>
    <row r="106" spans="1:13" x14ac:dyDescent="0.2">
      <c r="A106" s="167"/>
      <c r="B106" s="168"/>
      <c r="C106" s="168"/>
      <c r="D106" s="168"/>
      <c r="E106" s="168"/>
      <c r="F106" s="168"/>
      <c r="G106" s="168"/>
      <c r="H106" s="168"/>
      <c r="I106" s="168"/>
      <c r="J106" s="168"/>
      <c r="K106" s="168"/>
      <c r="L106" s="168"/>
      <c r="M106" s="169"/>
    </row>
    <row r="107" spans="1:13" x14ac:dyDescent="0.2">
      <c r="A107" s="167"/>
      <c r="B107" s="277" t="s">
        <v>75</v>
      </c>
      <c r="C107" s="278"/>
      <c r="D107" s="125" t="s">
        <v>76</v>
      </c>
      <c r="E107" s="125" t="s">
        <v>77</v>
      </c>
      <c r="F107" s="125" t="s">
        <v>78</v>
      </c>
      <c r="G107" s="125" t="s">
        <v>79</v>
      </c>
      <c r="H107" s="168"/>
      <c r="I107" s="168"/>
      <c r="J107" s="168"/>
      <c r="K107" s="168"/>
      <c r="L107" s="168"/>
      <c r="M107" s="169"/>
    </row>
    <row r="108" spans="1:13" x14ac:dyDescent="0.2">
      <c r="A108" s="167"/>
      <c r="B108" s="279" t="s">
        <v>80</v>
      </c>
      <c r="C108" s="280"/>
      <c r="D108" s="127" t="s">
        <v>81</v>
      </c>
      <c r="E108" s="127" t="s">
        <v>82</v>
      </c>
      <c r="F108" s="127" t="s">
        <v>83</v>
      </c>
      <c r="G108" s="127" t="s">
        <v>84</v>
      </c>
      <c r="H108" s="214"/>
      <c r="I108" s="168"/>
      <c r="J108" s="168"/>
      <c r="K108" s="168"/>
      <c r="L108" s="168"/>
      <c r="M108" s="169"/>
    </row>
    <row r="109" spans="1:13" x14ac:dyDescent="0.2">
      <c r="A109" s="167"/>
      <c r="B109" s="168"/>
      <c r="C109" s="168"/>
      <c r="D109" s="168"/>
      <c r="E109" s="168"/>
      <c r="F109" s="168"/>
      <c r="G109" s="168"/>
      <c r="H109" s="214"/>
      <c r="I109" s="168"/>
      <c r="J109" s="168"/>
      <c r="K109" s="168"/>
      <c r="L109" s="168"/>
      <c r="M109" s="169"/>
    </row>
    <row r="110" spans="1:13" x14ac:dyDescent="0.2">
      <c r="A110" s="167"/>
      <c r="B110" s="213" t="s">
        <v>85</v>
      </c>
      <c r="C110" s="281" t="s">
        <v>99</v>
      </c>
      <c r="D110" s="282"/>
      <c r="E110" s="282"/>
      <c r="F110" s="282"/>
      <c r="G110" s="283"/>
      <c r="H110" s="215"/>
      <c r="I110" s="168"/>
      <c r="J110" s="168"/>
      <c r="K110" s="168"/>
      <c r="L110" s="168"/>
      <c r="M110" s="169"/>
    </row>
    <row r="111" spans="1:13" x14ac:dyDescent="0.2">
      <c r="A111" s="167"/>
      <c r="B111" s="213" t="s">
        <v>86</v>
      </c>
      <c r="C111" s="281" t="s">
        <v>100</v>
      </c>
      <c r="D111" s="282"/>
      <c r="E111" s="282"/>
      <c r="F111" s="282"/>
      <c r="G111" s="283"/>
      <c r="H111" s="215"/>
      <c r="I111" s="168"/>
      <c r="J111" s="168"/>
      <c r="K111" s="168"/>
      <c r="L111" s="168"/>
      <c r="M111" s="169"/>
    </row>
    <row r="112" spans="1:13" x14ac:dyDescent="0.2">
      <c r="A112" s="167"/>
      <c r="B112" s="213" t="s">
        <v>87</v>
      </c>
      <c r="C112" s="281" t="s">
        <v>102</v>
      </c>
      <c r="D112" s="282"/>
      <c r="E112" s="282"/>
      <c r="F112" s="282"/>
      <c r="G112" s="283"/>
      <c r="H112" s="215"/>
      <c r="I112" s="168"/>
      <c r="J112" s="168"/>
      <c r="K112" s="168"/>
      <c r="L112" s="168"/>
      <c r="M112" s="169"/>
    </row>
    <row r="113" spans="1:13" x14ac:dyDescent="0.2">
      <c r="A113" s="167"/>
      <c r="B113" s="213" t="s">
        <v>88</v>
      </c>
      <c r="C113" s="281" t="s">
        <v>101</v>
      </c>
      <c r="D113" s="282"/>
      <c r="E113" s="282"/>
      <c r="F113" s="282"/>
      <c r="G113" s="283"/>
      <c r="H113" s="215"/>
      <c r="I113" s="168"/>
      <c r="J113" s="168"/>
      <c r="K113" s="168"/>
      <c r="L113" s="168"/>
      <c r="M113" s="169"/>
    </row>
    <row r="114" spans="1:13" x14ac:dyDescent="0.2">
      <c r="A114" s="167"/>
      <c r="B114" s="213" t="s">
        <v>89</v>
      </c>
      <c r="C114" s="281" t="s">
        <v>103</v>
      </c>
      <c r="D114" s="282"/>
      <c r="E114" s="282"/>
      <c r="F114" s="282"/>
      <c r="G114" s="283"/>
      <c r="H114" s="215"/>
      <c r="I114" s="168"/>
      <c r="J114" s="168"/>
      <c r="K114" s="168"/>
      <c r="L114" s="168"/>
      <c r="M114" s="169"/>
    </row>
    <row r="115" spans="1:13" x14ac:dyDescent="0.2">
      <c r="A115" s="167"/>
      <c r="B115" s="213" t="s">
        <v>90</v>
      </c>
      <c r="C115" s="281" t="s">
        <v>104</v>
      </c>
      <c r="D115" s="282"/>
      <c r="E115" s="282"/>
      <c r="F115" s="282"/>
      <c r="G115" s="283"/>
      <c r="H115" s="215"/>
      <c r="I115" s="168"/>
      <c r="J115" s="168"/>
      <c r="K115" s="168"/>
      <c r="L115" s="168"/>
      <c r="M115" s="169"/>
    </row>
    <row r="116" spans="1:13" x14ac:dyDescent="0.2">
      <c r="A116" s="167"/>
      <c r="B116" s="213" t="s">
        <v>91</v>
      </c>
      <c r="C116" s="281" t="s">
        <v>2717</v>
      </c>
      <c r="D116" s="282"/>
      <c r="E116" s="282"/>
      <c r="F116" s="282"/>
      <c r="G116" s="283"/>
      <c r="H116" s="215"/>
      <c r="I116" s="168"/>
      <c r="J116" s="168"/>
      <c r="K116" s="168"/>
      <c r="L116" s="168"/>
      <c r="M116" s="169"/>
    </row>
    <row r="117" spans="1:13" x14ac:dyDescent="0.2">
      <c r="A117" s="167"/>
      <c r="B117" s="213" t="s">
        <v>92</v>
      </c>
      <c r="C117" s="281" t="s">
        <v>110</v>
      </c>
      <c r="D117" s="282"/>
      <c r="E117" s="282"/>
      <c r="F117" s="282"/>
      <c r="G117" s="283"/>
      <c r="H117" s="215"/>
      <c r="I117" s="168"/>
      <c r="J117" s="168"/>
      <c r="K117" s="168"/>
      <c r="L117" s="168"/>
      <c r="M117" s="169"/>
    </row>
    <row r="118" spans="1:13" x14ac:dyDescent="0.2">
      <c r="A118" s="167"/>
      <c r="B118" s="213" t="s">
        <v>93</v>
      </c>
      <c r="C118" s="281" t="s">
        <v>105</v>
      </c>
      <c r="D118" s="282"/>
      <c r="E118" s="282"/>
      <c r="F118" s="282"/>
      <c r="G118" s="283"/>
      <c r="H118" s="215"/>
      <c r="I118" s="168"/>
      <c r="J118" s="168"/>
      <c r="K118" s="168"/>
      <c r="L118" s="168"/>
      <c r="M118" s="169"/>
    </row>
    <row r="119" spans="1:13" x14ac:dyDescent="0.2">
      <c r="A119" s="167"/>
      <c r="B119" s="213" t="s">
        <v>94</v>
      </c>
      <c r="C119" s="281" t="s">
        <v>109</v>
      </c>
      <c r="D119" s="282"/>
      <c r="E119" s="282"/>
      <c r="F119" s="282"/>
      <c r="G119" s="283"/>
      <c r="H119" s="215"/>
      <c r="I119" s="168"/>
      <c r="J119" s="168"/>
      <c r="K119" s="168"/>
      <c r="L119" s="168"/>
      <c r="M119" s="169"/>
    </row>
    <row r="120" spans="1:13" x14ac:dyDescent="0.2">
      <c r="A120" s="167"/>
      <c r="B120" s="213" t="s">
        <v>95</v>
      </c>
      <c r="C120" s="281" t="s">
        <v>106</v>
      </c>
      <c r="D120" s="282"/>
      <c r="E120" s="282"/>
      <c r="F120" s="282"/>
      <c r="G120" s="283"/>
      <c r="H120" s="215"/>
      <c r="I120" s="168"/>
      <c r="J120" s="168"/>
      <c r="K120" s="168"/>
      <c r="L120" s="168"/>
      <c r="M120" s="169"/>
    </row>
    <row r="121" spans="1:13" x14ac:dyDescent="0.2">
      <c r="A121" s="167"/>
      <c r="B121" s="213" t="s">
        <v>96</v>
      </c>
      <c r="C121" s="281" t="s">
        <v>107</v>
      </c>
      <c r="D121" s="282"/>
      <c r="E121" s="282"/>
      <c r="F121" s="282"/>
      <c r="G121" s="283"/>
      <c r="H121" s="215"/>
      <c r="I121" s="168"/>
      <c r="J121" s="168"/>
      <c r="K121" s="168"/>
      <c r="L121" s="168"/>
      <c r="M121" s="169"/>
    </row>
    <row r="122" spans="1:13" x14ac:dyDescent="0.2">
      <c r="A122" s="167"/>
      <c r="B122" s="213" t="s">
        <v>97</v>
      </c>
      <c r="C122" s="281" t="s">
        <v>108</v>
      </c>
      <c r="D122" s="282"/>
      <c r="E122" s="282"/>
      <c r="F122" s="282"/>
      <c r="G122" s="283"/>
      <c r="H122" s="215"/>
      <c r="I122" s="168"/>
      <c r="J122" s="168"/>
      <c r="K122" s="168"/>
      <c r="L122" s="168"/>
      <c r="M122" s="169"/>
    </row>
    <row r="123" spans="1:13" ht="38.25" customHeight="1" x14ac:dyDescent="0.2">
      <c r="A123" s="167"/>
      <c r="B123" s="213" t="s">
        <v>98</v>
      </c>
      <c r="C123" s="284" t="s">
        <v>2718</v>
      </c>
      <c r="D123" s="285"/>
      <c r="E123" s="285"/>
      <c r="F123" s="285"/>
      <c r="G123" s="286"/>
      <c r="H123" s="215"/>
      <c r="I123" s="168"/>
      <c r="J123" s="168"/>
      <c r="K123" s="168"/>
      <c r="L123" s="168"/>
      <c r="M123" s="169"/>
    </row>
    <row r="124" spans="1:13" x14ac:dyDescent="0.2">
      <c r="A124" s="167"/>
      <c r="B124" s="168"/>
      <c r="C124" s="168"/>
      <c r="D124" s="168"/>
      <c r="E124" s="168"/>
      <c r="F124" s="168"/>
      <c r="G124" s="168"/>
      <c r="H124" s="214"/>
      <c r="I124" s="168"/>
      <c r="J124" s="168"/>
      <c r="K124" s="168"/>
      <c r="L124" s="168"/>
      <c r="M124" s="169"/>
    </row>
    <row r="125" spans="1:13" x14ac:dyDescent="0.2">
      <c r="A125" s="167"/>
      <c r="B125" s="168"/>
      <c r="C125" s="168"/>
      <c r="D125" s="168"/>
      <c r="E125" s="168"/>
      <c r="F125" s="168"/>
      <c r="G125" s="168"/>
      <c r="H125" s="214"/>
      <c r="I125" s="168"/>
      <c r="J125" s="168"/>
      <c r="K125" s="168"/>
      <c r="L125" s="214"/>
      <c r="M125" s="169"/>
    </row>
    <row r="126" spans="1:13" x14ac:dyDescent="0.2">
      <c r="A126" s="167"/>
      <c r="B126" s="168"/>
      <c r="C126" s="168"/>
      <c r="D126" s="168"/>
      <c r="E126" s="168"/>
      <c r="F126" s="168"/>
      <c r="G126" s="168"/>
      <c r="H126" s="168"/>
      <c r="I126" s="168"/>
      <c r="J126" s="168"/>
      <c r="K126" s="168"/>
      <c r="L126" s="214"/>
      <c r="M126" s="169"/>
    </row>
    <row r="127" spans="1:13" ht="12.75" customHeight="1" x14ac:dyDescent="0.2">
      <c r="A127" s="167"/>
      <c r="B127" s="294" t="s">
        <v>2772</v>
      </c>
      <c r="C127" s="294"/>
      <c r="D127" s="294"/>
      <c r="E127" s="294"/>
      <c r="F127" s="294"/>
      <c r="G127" s="294"/>
      <c r="H127" s="294"/>
      <c r="I127" s="294"/>
      <c r="J127" s="294"/>
      <c r="K127" s="294"/>
      <c r="L127" s="215"/>
      <c r="M127" s="169"/>
    </row>
    <row r="128" spans="1:13" x14ac:dyDescent="0.2">
      <c r="A128" s="167"/>
      <c r="B128" s="294"/>
      <c r="C128" s="294"/>
      <c r="D128" s="294"/>
      <c r="E128" s="294"/>
      <c r="F128" s="294"/>
      <c r="G128" s="294"/>
      <c r="H128" s="294"/>
      <c r="I128" s="294"/>
      <c r="J128" s="294"/>
      <c r="K128" s="294"/>
      <c r="L128" s="215"/>
      <c r="M128" s="169"/>
    </row>
    <row r="129" spans="1:13" x14ac:dyDescent="0.2">
      <c r="A129" s="167"/>
      <c r="B129" s="294"/>
      <c r="C129" s="294"/>
      <c r="D129" s="294"/>
      <c r="E129" s="294"/>
      <c r="F129" s="294"/>
      <c r="G129" s="294"/>
      <c r="H129" s="294"/>
      <c r="I129" s="294"/>
      <c r="J129" s="294"/>
      <c r="K129" s="294"/>
      <c r="L129" s="215"/>
      <c r="M129" s="169"/>
    </row>
    <row r="130" spans="1:13" x14ac:dyDescent="0.2">
      <c r="A130" s="167"/>
      <c r="B130" s="294"/>
      <c r="C130" s="294"/>
      <c r="D130" s="294"/>
      <c r="E130" s="294"/>
      <c r="F130" s="294"/>
      <c r="G130" s="294"/>
      <c r="H130" s="294"/>
      <c r="I130" s="294"/>
      <c r="J130" s="294"/>
      <c r="K130" s="294"/>
      <c r="L130" s="215"/>
      <c r="M130" s="169"/>
    </row>
    <row r="131" spans="1:13" x14ac:dyDescent="0.2">
      <c r="A131" s="167"/>
      <c r="B131" s="294"/>
      <c r="C131" s="294"/>
      <c r="D131" s="294"/>
      <c r="E131" s="294"/>
      <c r="F131" s="294"/>
      <c r="G131" s="294"/>
      <c r="H131" s="294"/>
      <c r="I131" s="294"/>
      <c r="J131" s="294"/>
      <c r="K131" s="294"/>
      <c r="L131" s="215"/>
      <c r="M131" s="169"/>
    </row>
    <row r="132" spans="1:13" x14ac:dyDescent="0.2">
      <c r="A132" s="167"/>
      <c r="B132" s="294"/>
      <c r="C132" s="294"/>
      <c r="D132" s="294"/>
      <c r="E132" s="294"/>
      <c r="F132" s="294"/>
      <c r="G132" s="294"/>
      <c r="H132" s="294"/>
      <c r="I132" s="294"/>
      <c r="J132" s="294"/>
      <c r="K132" s="294"/>
      <c r="L132" s="215"/>
      <c r="M132" s="169"/>
    </row>
    <row r="133" spans="1:13" x14ac:dyDescent="0.2">
      <c r="A133" s="167"/>
      <c r="B133" s="294"/>
      <c r="C133" s="294"/>
      <c r="D133" s="294"/>
      <c r="E133" s="294"/>
      <c r="F133" s="294"/>
      <c r="G133" s="294"/>
      <c r="H133" s="294"/>
      <c r="I133" s="294"/>
      <c r="J133" s="294"/>
      <c r="K133" s="294"/>
      <c r="L133" s="215"/>
      <c r="M133" s="169"/>
    </row>
    <row r="134" spans="1:13" x14ac:dyDescent="0.2">
      <c r="A134" s="167"/>
      <c r="B134" s="294"/>
      <c r="C134" s="294"/>
      <c r="D134" s="294"/>
      <c r="E134" s="294"/>
      <c r="F134" s="294"/>
      <c r="G134" s="294"/>
      <c r="H134" s="294"/>
      <c r="I134" s="294"/>
      <c r="J134" s="294"/>
      <c r="K134" s="294"/>
      <c r="L134" s="215"/>
      <c r="M134" s="169"/>
    </row>
    <row r="135" spans="1:13" x14ac:dyDescent="0.2">
      <c r="A135" s="167"/>
      <c r="B135" s="294"/>
      <c r="C135" s="294"/>
      <c r="D135" s="294"/>
      <c r="E135" s="294"/>
      <c r="F135" s="294"/>
      <c r="G135" s="294"/>
      <c r="H135" s="294"/>
      <c r="I135" s="294"/>
      <c r="J135" s="294"/>
      <c r="K135" s="294"/>
      <c r="L135" s="215"/>
      <c r="M135" s="169"/>
    </row>
    <row r="136" spans="1:13" x14ac:dyDescent="0.2">
      <c r="A136" s="167"/>
      <c r="B136" s="294"/>
      <c r="C136" s="294"/>
      <c r="D136" s="294"/>
      <c r="E136" s="294"/>
      <c r="F136" s="294"/>
      <c r="G136" s="294"/>
      <c r="H136" s="294"/>
      <c r="I136" s="294"/>
      <c r="J136" s="294"/>
      <c r="K136" s="294"/>
      <c r="L136" s="215"/>
      <c r="M136" s="169"/>
    </row>
    <row r="137" spans="1:13" x14ac:dyDescent="0.2">
      <c r="A137" s="167"/>
      <c r="B137" s="294"/>
      <c r="C137" s="294"/>
      <c r="D137" s="294"/>
      <c r="E137" s="294"/>
      <c r="F137" s="294"/>
      <c r="G137" s="294"/>
      <c r="H137" s="294"/>
      <c r="I137" s="294"/>
      <c r="J137" s="294"/>
      <c r="K137" s="294"/>
      <c r="L137" s="215"/>
      <c r="M137" s="169"/>
    </row>
    <row r="138" spans="1:13" x14ac:dyDescent="0.2">
      <c r="A138" s="167"/>
      <c r="B138" s="294"/>
      <c r="C138" s="294"/>
      <c r="D138" s="294"/>
      <c r="E138" s="294"/>
      <c r="F138" s="294"/>
      <c r="G138" s="294"/>
      <c r="H138" s="294"/>
      <c r="I138" s="294"/>
      <c r="J138" s="294"/>
      <c r="K138" s="294"/>
      <c r="L138" s="215"/>
      <c r="M138" s="169"/>
    </row>
    <row r="139" spans="1:13" x14ac:dyDescent="0.2">
      <c r="A139" s="167"/>
      <c r="B139" s="294"/>
      <c r="C139" s="294"/>
      <c r="D139" s="294"/>
      <c r="E139" s="294"/>
      <c r="F139" s="294"/>
      <c r="G139" s="294"/>
      <c r="H139" s="294"/>
      <c r="I139" s="294"/>
      <c r="J139" s="294"/>
      <c r="K139" s="294"/>
      <c r="L139" s="215"/>
      <c r="M139" s="169"/>
    </row>
    <row r="140" spans="1:13" x14ac:dyDescent="0.2">
      <c r="A140" s="167"/>
      <c r="B140" s="294"/>
      <c r="C140" s="294"/>
      <c r="D140" s="294"/>
      <c r="E140" s="294"/>
      <c r="F140" s="294"/>
      <c r="G140" s="294"/>
      <c r="H140" s="294"/>
      <c r="I140" s="294"/>
      <c r="J140" s="294"/>
      <c r="K140" s="294"/>
      <c r="L140" s="215"/>
      <c r="M140" s="169"/>
    </row>
    <row r="141" spans="1:13" x14ac:dyDescent="0.2">
      <c r="A141" s="167"/>
      <c r="B141" s="294"/>
      <c r="C141" s="294"/>
      <c r="D141" s="294"/>
      <c r="E141" s="294"/>
      <c r="F141" s="294"/>
      <c r="G141" s="294"/>
      <c r="H141" s="294"/>
      <c r="I141" s="294"/>
      <c r="J141" s="294"/>
      <c r="K141" s="294"/>
      <c r="L141" s="215"/>
      <c r="M141" s="169"/>
    </row>
    <row r="142" spans="1:13" x14ac:dyDescent="0.2">
      <c r="A142" s="167"/>
      <c r="B142" s="294"/>
      <c r="C142" s="294"/>
      <c r="D142" s="294"/>
      <c r="E142" s="294"/>
      <c r="F142" s="294"/>
      <c r="G142" s="294"/>
      <c r="H142" s="294"/>
      <c r="I142" s="294"/>
      <c r="J142" s="294"/>
      <c r="K142" s="294"/>
      <c r="L142" s="215"/>
      <c r="M142" s="169"/>
    </row>
    <row r="143" spans="1:13" x14ac:dyDescent="0.2">
      <c r="A143" s="167"/>
      <c r="B143" s="294"/>
      <c r="C143" s="294"/>
      <c r="D143" s="294"/>
      <c r="E143" s="294"/>
      <c r="F143" s="294"/>
      <c r="G143" s="294"/>
      <c r="H143" s="294"/>
      <c r="I143" s="294"/>
      <c r="J143" s="294"/>
      <c r="K143" s="294"/>
      <c r="L143" s="215"/>
      <c r="M143" s="169"/>
    </row>
    <row r="144" spans="1:13" x14ac:dyDescent="0.2">
      <c r="A144" s="167"/>
      <c r="B144" s="294"/>
      <c r="C144" s="294"/>
      <c r="D144" s="294"/>
      <c r="E144" s="294"/>
      <c r="F144" s="294"/>
      <c r="G144" s="294"/>
      <c r="H144" s="294"/>
      <c r="I144" s="294"/>
      <c r="J144" s="294"/>
      <c r="K144" s="294"/>
      <c r="L144" s="215"/>
      <c r="M144" s="169"/>
    </row>
    <row r="145" spans="1:13" x14ac:dyDescent="0.2">
      <c r="A145" s="167"/>
      <c r="B145" s="294"/>
      <c r="C145" s="294"/>
      <c r="D145" s="294"/>
      <c r="E145" s="294"/>
      <c r="F145" s="294"/>
      <c r="G145" s="294"/>
      <c r="H145" s="294"/>
      <c r="I145" s="294"/>
      <c r="J145" s="294"/>
      <c r="K145" s="294"/>
      <c r="L145" s="215"/>
      <c r="M145" s="169"/>
    </row>
    <row r="146" spans="1:13" x14ac:dyDescent="0.2">
      <c r="A146" s="167"/>
      <c r="B146" s="294"/>
      <c r="C146" s="294"/>
      <c r="D146" s="294"/>
      <c r="E146" s="294"/>
      <c r="F146" s="294"/>
      <c r="G146" s="294"/>
      <c r="H146" s="294"/>
      <c r="I146" s="294"/>
      <c r="J146" s="294"/>
      <c r="K146" s="294"/>
      <c r="L146" s="215"/>
      <c r="M146" s="169"/>
    </row>
    <row r="147" spans="1:13" x14ac:dyDescent="0.2">
      <c r="A147" s="167"/>
      <c r="B147" s="294"/>
      <c r="C147" s="294"/>
      <c r="D147" s="294"/>
      <c r="E147" s="294"/>
      <c r="F147" s="294"/>
      <c r="G147" s="294"/>
      <c r="H147" s="294"/>
      <c r="I147" s="294"/>
      <c r="J147" s="294"/>
      <c r="K147" s="294"/>
      <c r="L147" s="215"/>
      <c r="M147" s="169"/>
    </row>
    <row r="148" spans="1:13" x14ac:dyDescent="0.2">
      <c r="A148" s="167"/>
      <c r="B148" s="294"/>
      <c r="C148" s="294"/>
      <c r="D148" s="294"/>
      <c r="E148" s="294"/>
      <c r="F148" s="294"/>
      <c r="G148" s="294"/>
      <c r="H148" s="294"/>
      <c r="I148" s="294"/>
      <c r="J148" s="294"/>
      <c r="K148" s="294"/>
      <c r="L148" s="215"/>
      <c r="M148" s="169"/>
    </row>
    <row r="149" spans="1:13" x14ac:dyDescent="0.2">
      <c r="A149" s="167"/>
      <c r="B149" s="294"/>
      <c r="C149" s="294"/>
      <c r="D149" s="294"/>
      <c r="E149" s="294"/>
      <c r="F149" s="294"/>
      <c r="G149" s="294"/>
      <c r="H149" s="294"/>
      <c r="I149" s="294"/>
      <c r="J149" s="294"/>
      <c r="K149" s="294"/>
      <c r="L149" s="215"/>
      <c r="M149" s="169"/>
    </row>
    <row r="150" spans="1:13" x14ac:dyDescent="0.2">
      <c r="A150" s="167"/>
      <c r="B150" s="294"/>
      <c r="C150" s="294"/>
      <c r="D150" s="294"/>
      <c r="E150" s="294"/>
      <c r="F150" s="294"/>
      <c r="G150" s="294"/>
      <c r="H150" s="294"/>
      <c r="I150" s="294"/>
      <c r="J150" s="294"/>
      <c r="K150" s="294"/>
      <c r="L150" s="215"/>
      <c r="M150" s="169"/>
    </row>
    <row r="151" spans="1:13" x14ac:dyDescent="0.2">
      <c r="A151" s="167"/>
      <c r="B151" s="294"/>
      <c r="C151" s="294"/>
      <c r="D151" s="294"/>
      <c r="E151" s="294"/>
      <c r="F151" s="294"/>
      <c r="G151" s="294"/>
      <c r="H151" s="294"/>
      <c r="I151" s="294"/>
      <c r="J151" s="294"/>
      <c r="K151" s="294"/>
      <c r="L151" s="215"/>
      <c r="M151" s="169"/>
    </row>
    <row r="152" spans="1:13" x14ac:dyDescent="0.2">
      <c r="A152" s="167"/>
      <c r="B152" s="294"/>
      <c r="C152" s="294"/>
      <c r="D152" s="294"/>
      <c r="E152" s="294"/>
      <c r="F152" s="294"/>
      <c r="G152" s="294"/>
      <c r="H152" s="294"/>
      <c r="I152" s="294"/>
      <c r="J152" s="294"/>
      <c r="K152" s="294"/>
      <c r="L152" s="215"/>
      <c r="M152" s="169"/>
    </row>
    <row r="153" spans="1:13" x14ac:dyDescent="0.2">
      <c r="A153" s="167"/>
      <c r="B153" s="294"/>
      <c r="C153" s="294"/>
      <c r="D153" s="294"/>
      <c r="E153" s="294"/>
      <c r="F153" s="294"/>
      <c r="G153" s="294"/>
      <c r="H153" s="294"/>
      <c r="I153" s="294"/>
      <c r="J153" s="294"/>
      <c r="K153" s="294"/>
      <c r="L153" s="215"/>
      <c r="M153" s="169"/>
    </row>
    <row r="154" spans="1:13" x14ac:dyDescent="0.2">
      <c r="A154" s="167"/>
      <c r="B154" s="294"/>
      <c r="C154" s="294"/>
      <c r="D154" s="294"/>
      <c r="E154" s="294"/>
      <c r="F154" s="294"/>
      <c r="G154" s="294"/>
      <c r="H154" s="294"/>
      <c r="I154" s="294"/>
      <c r="J154" s="294"/>
      <c r="K154" s="294"/>
      <c r="L154" s="215"/>
      <c r="M154" s="169"/>
    </row>
    <row r="155" spans="1:13" x14ac:dyDescent="0.2">
      <c r="A155" s="167"/>
      <c r="B155" s="294"/>
      <c r="C155" s="294"/>
      <c r="D155" s="294"/>
      <c r="E155" s="294"/>
      <c r="F155" s="294"/>
      <c r="G155" s="294"/>
      <c r="H155" s="294"/>
      <c r="I155" s="294"/>
      <c r="J155" s="294"/>
      <c r="K155" s="294"/>
      <c r="L155" s="215"/>
      <c r="M155" s="169"/>
    </row>
    <row r="156" spans="1:13" x14ac:dyDescent="0.2">
      <c r="A156" s="167"/>
      <c r="B156" s="294"/>
      <c r="C156" s="294"/>
      <c r="D156" s="294"/>
      <c r="E156" s="294"/>
      <c r="F156" s="294"/>
      <c r="G156" s="294"/>
      <c r="H156" s="294"/>
      <c r="I156" s="294"/>
      <c r="J156" s="294"/>
      <c r="K156" s="294"/>
      <c r="L156" s="215"/>
      <c r="M156" s="169"/>
    </row>
    <row r="157" spans="1:13" x14ac:dyDescent="0.2">
      <c r="A157" s="167"/>
      <c r="B157" s="294"/>
      <c r="C157" s="294"/>
      <c r="D157" s="294"/>
      <c r="E157" s="294"/>
      <c r="F157" s="294"/>
      <c r="G157" s="294"/>
      <c r="H157" s="294"/>
      <c r="I157" s="294"/>
      <c r="J157" s="294"/>
      <c r="K157" s="294"/>
      <c r="L157" s="215"/>
      <c r="M157" s="169"/>
    </row>
    <row r="158" spans="1:13" x14ac:dyDescent="0.2">
      <c r="A158" s="167"/>
      <c r="B158" s="294"/>
      <c r="C158" s="294"/>
      <c r="D158" s="294"/>
      <c r="E158" s="294"/>
      <c r="F158" s="294"/>
      <c r="G158" s="294"/>
      <c r="H158" s="294"/>
      <c r="I158" s="294"/>
      <c r="J158" s="294"/>
      <c r="K158" s="294"/>
      <c r="L158" s="215"/>
      <c r="M158" s="169"/>
    </row>
    <row r="159" spans="1:13" x14ac:dyDescent="0.2">
      <c r="A159" s="167"/>
      <c r="B159" s="294"/>
      <c r="C159" s="294"/>
      <c r="D159" s="294"/>
      <c r="E159" s="294"/>
      <c r="F159" s="294"/>
      <c r="G159" s="294"/>
      <c r="H159" s="294"/>
      <c r="I159" s="294"/>
      <c r="J159" s="294"/>
      <c r="K159" s="294"/>
      <c r="L159" s="215"/>
      <c r="M159" s="169"/>
    </row>
    <row r="160" spans="1:13" x14ac:dyDescent="0.2">
      <c r="A160" s="167"/>
      <c r="B160" s="294"/>
      <c r="C160" s="294"/>
      <c r="D160" s="294"/>
      <c r="E160" s="294"/>
      <c r="F160" s="294"/>
      <c r="G160" s="294"/>
      <c r="H160" s="294"/>
      <c r="I160" s="294"/>
      <c r="J160" s="294"/>
      <c r="K160" s="294"/>
      <c r="L160" s="215"/>
      <c r="M160" s="169"/>
    </row>
    <row r="161" spans="1:13" x14ac:dyDescent="0.2">
      <c r="A161" s="167"/>
      <c r="B161" s="294"/>
      <c r="C161" s="294"/>
      <c r="D161" s="294"/>
      <c r="E161" s="294"/>
      <c r="F161" s="294"/>
      <c r="G161" s="294"/>
      <c r="H161" s="294"/>
      <c r="I161" s="294"/>
      <c r="J161" s="294"/>
      <c r="K161" s="294"/>
      <c r="L161" s="215"/>
      <c r="M161" s="169"/>
    </row>
    <row r="162" spans="1:13" x14ac:dyDescent="0.2">
      <c r="A162" s="167"/>
      <c r="B162" s="294"/>
      <c r="C162" s="294"/>
      <c r="D162" s="294"/>
      <c r="E162" s="294"/>
      <c r="F162" s="294"/>
      <c r="G162" s="294"/>
      <c r="H162" s="294"/>
      <c r="I162" s="294"/>
      <c r="J162" s="294"/>
      <c r="K162" s="294"/>
      <c r="L162" s="215"/>
      <c r="M162" s="169"/>
    </row>
    <row r="163" spans="1:13" x14ac:dyDescent="0.2">
      <c r="A163" s="167"/>
      <c r="B163" s="168"/>
      <c r="C163" s="168"/>
      <c r="D163" s="168"/>
      <c r="E163" s="168"/>
      <c r="F163" s="168"/>
      <c r="G163" s="168"/>
      <c r="H163" s="168"/>
      <c r="I163" s="168"/>
      <c r="J163" s="168"/>
      <c r="K163" s="168"/>
      <c r="L163" s="214"/>
      <c r="M163" s="169"/>
    </row>
    <row r="164" spans="1:13" x14ac:dyDescent="0.2">
      <c r="A164" s="287" t="s">
        <v>2766</v>
      </c>
      <c r="B164" s="288"/>
      <c r="C164" s="288"/>
      <c r="D164" s="288"/>
      <c r="E164" s="288"/>
      <c r="F164" s="288"/>
      <c r="G164" s="288"/>
      <c r="H164" s="288"/>
      <c r="I164" s="288"/>
      <c r="J164" s="288"/>
      <c r="K164" s="288"/>
      <c r="L164" s="288"/>
      <c r="M164" s="289"/>
    </row>
    <row r="165" spans="1:13" x14ac:dyDescent="0.2">
      <c r="A165" s="290"/>
      <c r="B165" s="288"/>
      <c r="C165" s="288"/>
      <c r="D165" s="288"/>
      <c r="E165" s="288"/>
      <c r="F165" s="288"/>
      <c r="G165" s="288"/>
      <c r="H165" s="288"/>
      <c r="I165" s="288"/>
      <c r="J165" s="288"/>
      <c r="K165" s="288"/>
      <c r="L165" s="288"/>
      <c r="M165" s="289"/>
    </row>
    <row r="166" spans="1:13" x14ac:dyDescent="0.2">
      <c r="A166" s="290"/>
      <c r="B166" s="288"/>
      <c r="C166" s="288"/>
      <c r="D166" s="288"/>
      <c r="E166" s="288"/>
      <c r="F166" s="288"/>
      <c r="G166" s="288"/>
      <c r="H166" s="288"/>
      <c r="I166" s="288"/>
      <c r="J166" s="288"/>
      <c r="K166" s="288"/>
      <c r="L166" s="288"/>
      <c r="M166" s="289"/>
    </row>
    <row r="167" spans="1:13" x14ac:dyDescent="0.2">
      <c r="A167" s="290"/>
      <c r="B167" s="288"/>
      <c r="C167" s="288"/>
      <c r="D167" s="288"/>
      <c r="E167" s="288"/>
      <c r="F167" s="288"/>
      <c r="G167" s="288"/>
      <c r="H167" s="288"/>
      <c r="I167" s="288"/>
      <c r="J167" s="288"/>
      <c r="K167" s="288"/>
      <c r="L167" s="288"/>
      <c r="M167" s="289"/>
    </row>
    <row r="168" spans="1:13" x14ac:dyDescent="0.2">
      <c r="A168" s="290"/>
      <c r="B168" s="288"/>
      <c r="C168" s="288"/>
      <c r="D168" s="288"/>
      <c r="E168" s="288"/>
      <c r="F168" s="288"/>
      <c r="G168" s="288"/>
      <c r="H168" s="288"/>
      <c r="I168" s="288"/>
      <c r="J168" s="288"/>
      <c r="K168" s="288"/>
      <c r="L168" s="288"/>
      <c r="M168" s="289"/>
    </row>
    <row r="169" spans="1:13" x14ac:dyDescent="0.2">
      <c r="A169" s="290"/>
      <c r="B169" s="288"/>
      <c r="C169" s="288"/>
      <c r="D169" s="288"/>
      <c r="E169" s="288"/>
      <c r="F169" s="288"/>
      <c r="G169" s="288"/>
      <c r="H169" s="288"/>
      <c r="I169" s="288"/>
      <c r="J169" s="288"/>
      <c r="K169" s="288"/>
      <c r="L169" s="288"/>
      <c r="M169" s="289"/>
    </row>
    <row r="170" spans="1:13" x14ac:dyDescent="0.2">
      <c r="A170" s="290"/>
      <c r="B170" s="288"/>
      <c r="C170" s="288"/>
      <c r="D170" s="288"/>
      <c r="E170" s="288"/>
      <c r="F170" s="288"/>
      <c r="G170" s="288"/>
      <c r="H170" s="288"/>
      <c r="I170" s="288"/>
      <c r="J170" s="288"/>
      <c r="K170" s="288"/>
      <c r="L170" s="288"/>
      <c r="M170" s="289"/>
    </row>
    <row r="171" spans="1:13" x14ac:dyDescent="0.2">
      <c r="A171" s="290"/>
      <c r="B171" s="288"/>
      <c r="C171" s="288"/>
      <c r="D171" s="288"/>
      <c r="E171" s="288"/>
      <c r="F171" s="288"/>
      <c r="G171" s="288"/>
      <c r="H171" s="288"/>
      <c r="I171" s="288"/>
      <c r="J171" s="288"/>
      <c r="K171" s="288"/>
      <c r="L171" s="288"/>
      <c r="M171" s="289"/>
    </row>
    <row r="172" spans="1:13" x14ac:dyDescent="0.2">
      <c r="A172" s="290"/>
      <c r="B172" s="288"/>
      <c r="C172" s="288"/>
      <c r="D172" s="288"/>
      <c r="E172" s="288"/>
      <c r="F172" s="288"/>
      <c r="G172" s="288"/>
      <c r="H172" s="288"/>
      <c r="I172" s="288"/>
      <c r="J172" s="288"/>
      <c r="K172" s="288"/>
      <c r="L172" s="288"/>
      <c r="M172" s="289"/>
    </row>
    <row r="173" spans="1:13" x14ac:dyDescent="0.2">
      <c r="A173" s="290"/>
      <c r="B173" s="288"/>
      <c r="C173" s="288"/>
      <c r="D173" s="288"/>
      <c r="E173" s="288"/>
      <c r="F173" s="288"/>
      <c r="G173" s="288"/>
      <c r="H173" s="288"/>
      <c r="I173" s="288"/>
      <c r="J173" s="288"/>
      <c r="K173" s="288"/>
      <c r="L173" s="288"/>
      <c r="M173" s="289"/>
    </row>
    <row r="174" spans="1:13" x14ac:dyDescent="0.2">
      <c r="A174" s="290"/>
      <c r="B174" s="288"/>
      <c r="C174" s="288"/>
      <c r="D174" s="288"/>
      <c r="E174" s="288"/>
      <c r="F174" s="288"/>
      <c r="G174" s="288"/>
      <c r="H174" s="288"/>
      <c r="I174" s="288"/>
      <c r="J174" s="288"/>
      <c r="K174" s="288"/>
      <c r="L174" s="288"/>
      <c r="M174" s="289"/>
    </row>
    <row r="175" spans="1:13" x14ac:dyDescent="0.2">
      <c r="A175" s="290"/>
      <c r="B175" s="288"/>
      <c r="C175" s="288"/>
      <c r="D175" s="288"/>
      <c r="E175" s="288"/>
      <c r="F175" s="288"/>
      <c r="G175" s="288"/>
      <c r="H175" s="288"/>
      <c r="I175" s="288"/>
      <c r="J175" s="288"/>
      <c r="K175" s="288"/>
      <c r="L175" s="288"/>
      <c r="M175" s="289"/>
    </row>
    <row r="176" spans="1:13" x14ac:dyDescent="0.2">
      <c r="A176" s="290"/>
      <c r="B176" s="288"/>
      <c r="C176" s="288"/>
      <c r="D176" s="288"/>
      <c r="E176" s="288"/>
      <c r="F176" s="288"/>
      <c r="G176" s="288"/>
      <c r="H176" s="288"/>
      <c r="I176" s="288"/>
      <c r="J176" s="288"/>
      <c r="K176" s="288"/>
      <c r="L176" s="288"/>
      <c r="M176" s="289"/>
    </row>
    <row r="177" spans="1:13" x14ac:dyDescent="0.2">
      <c r="A177" s="290"/>
      <c r="B177" s="288"/>
      <c r="C177" s="288"/>
      <c r="D177" s="288"/>
      <c r="E177" s="288"/>
      <c r="F177" s="288"/>
      <c r="G177" s="288"/>
      <c r="H177" s="288"/>
      <c r="I177" s="288"/>
      <c r="J177" s="288"/>
      <c r="K177" s="288"/>
      <c r="L177" s="288"/>
      <c r="M177" s="289"/>
    </row>
    <row r="178" spans="1:13" x14ac:dyDescent="0.2">
      <c r="A178" s="290"/>
      <c r="B178" s="288"/>
      <c r="C178" s="288"/>
      <c r="D178" s="288"/>
      <c r="E178" s="288"/>
      <c r="F178" s="288"/>
      <c r="G178" s="288"/>
      <c r="H178" s="288"/>
      <c r="I178" s="288"/>
      <c r="J178" s="288"/>
      <c r="K178" s="288"/>
      <c r="L178" s="288"/>
      <c r="M178" s="289"/>
    </row>
    <row r="179" spans="1:13" x14ac:dyDescent="0.2">
      <c r="A179" s="290"/>
      <c r="B179" s="288"/>
      <c r="C179" s="288"/>
      <c r="D179" s="288"/>
      <c r="E179" s="288"/>
      <c r="F179" s="288"/>
      <c r="G179" s="288"/>
      <c r="H179" s="288"/>
      <c r="I179" s="288"/>
      <c r="J179" s="288"/>
      <c r="K179" s="288"/>
      <c r="L179" s="288"/>
      <c r="M179" s="289"/>
    </row>
    <row r="180" spans="1:13" x14ac:dyDescent="0.2">
      <c r="A180" s="290"/>
      <c r="B180" s="288"/>
      <c r="C180" s="288"/>
      <c r="D180" s="288"/>
      <c r="E180" s="288"/>
      <c r="F180" s="288"/>
      <c r="G180" s="288"/>
      <c r="H180" s="288"/>
      <c r="I180" s="288"/>
      <c r="J180" s="288"/>
      <c r="K180" s="288"/>
      <c r="L180" s="288"/>
      <c r="M180" s="289"/>
    </row>
    <row r="181" spans="1:13" x14ac:dyDescent="0.2">
      <c r="A181" s="290"/>
      <c r="B181" s="288"/>
      <c r="C181" s="288"/>
      <c r="D181" s="288"/>
      <c r="E181" s="288"/>
      <c r="F181" s="288"/>
      <c r="G181" s="288"/>
      <c r="H181" s="288"/>
      <c r="I181" s="288"/>
      <c r="J181" s="288"/>
      <c r="K181" s="288"/>
      <c r="L181" s="288"/>
      <c r="M181" s="289"/>
    </row>
    <row r="182" spans="1:13" x14ac:dyDescent="0.2">
      <c r="A182" s="290"/>
      <c r="B182" s="288"/>
      <c r="C182" s="288"/>
      <c r="D182" s="288"/>
      <c r="E182" s="288"/>
      <c r="F182" s="288"/>
      <c r="G182" s="288"/>
      <c r="H182" s="288"/>
      <c r="I182" s="288"/>
      <c r="J182" s="288"/>
      <c r="K182" s="288"/>
      <c r="L182" s="288"/>
      <c r="M182" s="289"/>
    </row>
    <row r="183" spans="1:13" x14ac:dyDescent="0.2">
      <c r="A183" s="290"/>
      <c r="B183" s="288"/>
      <c r="C183" s="288"/>
      <c r="D183" s="288"/>
      <c r="E183" s="288"/>
      <c r="F183" s="288"/>
      <c r="G183" s="288"/>
      <c r="H183" s="288"/>
      <c r="I183" s="288"/>
      <c r="J183" s="288"/>
      <c r="K183" s="288"/>
      <c r="L183" s="288"/>
      <c r="M183" s="289"/>
    </row>
    <row r="184" spans="1:13" x14ac:dyDescent="0.2">
      <c r="A184" s="290"/>
      <c r="B184" s="288"/>
      <c r="C184" s="288"/>
      <c r="D184" s="288"/>
      <c r="E184" s="288"/>
      <c r="F184" s="288"/>
      <c r="G184" s="288"/>
      <c r="H184" s="288"/>
      <c r="I184" s="288"/>
      <c r="J184" s="288"/>
      <c r="K184" s="288"/>
      <c r="L184" s="288"/>
      <c r="M184" s="289"/>
    </row>
    <row r="185" spans="1:13" x14ac:dyDescent="0.2">
      <c r="A185" s="290"/>
      <c r="B185" s="288"/>
      <c r="C185" s="288"/>
      <c r="D185" s="288"/>
      <c r="E185" s="288"/>
      <c r="F185" s="288"/>
      <c r="G185" s="288"/>
      <c r="H185" s="288"/>
      <c r="I185" s="288"/>
      <c r="J185" s="288"/>
      <c r="K185" s="288"/>
      <c r="L185" s="288"/>
      <c r="M185" s="289"/>
    </row>
    <row r="186" spans="1:13" x14ac:dyDescent="0.2">
      <c r="A186" s="290"/>
      <c r="B186" s="288"/>
      <c r="C186" s="288"/>
      <c r="D186" s="288"/>
      <c r="E186" s="288"/>
      <c r="F186" s="288"/>
      <c r="G186" s="288"/>
      <c r="H186" s="288"/>
      <c r="I186" s="288"/>
      <c r="J186" s="288"/>
      <c r="K186" s="288"/>
      <c r="L186" s="288"/>
      <c r="M186" s="289"/>
    </row>
    <row r="187" spans="1:13" x14ac:dyDescent="0.2">
      <c r="A187" s="290"/>
      <c r="B187" s="288"/>
      <c r="C187" s="288"/>
      <c r="D187" s="288"/>
      <c r="E187" s="288"/>
      <c r="F187" s="288"/>
      <c r="G187" s="288"/>
      <c r="H187" s="288"/>
      <c r="I187" s="288"/>
      <c r="J187" s="288"/>
      <c r="K187" s="288"/>
      <c r="L187" s="288"/>
      <c r="M187" s="289"/>
    </row>
    <row r="188" spans="1:13" x14ac:dyDescent="0.2">
      <c r="A188" s="290"/>
      <c r="B188" s="288"/>
      <c r="C188" s="288"/>
      <c r="D188" s="288"/>
      <c r="E188" s="288"/>
      <c r="F188" s="288"/>
      <c r="G188" s="288"/>
      <c r="H188" s="288"/>
      <c r="I188" s="288"/>
      <c r="J188" s="288"/>
      <c r="K188" s="288"/>
      <c r="L188" s="288"/>
      <c r="M188" s="289"/>
    </row>
    <row r="189" spans="1:13" x14ac:dyDescent="0.2">
      <c r="A189" s="290"/>
      <c r="B189" s="288"/>
      <c r="C189" s="288"/>
      <c r="D189" s="288"/>
      <c r="E189" s="288"/>
      <c r="F189" s="288"/>
      <c r="G189" s="288"/>
      <c r="H189" s="288"/>
      <c r="I189" s="288"/>
      <c r="J189" s="288"/>
      <c r="K189" s="288"/>
      <c r="L189" s="288"/>
      <c r="M189" s="289"/>
    </row>
    <row r="190" spans="1:13" x14ac:dyDescent="0.2">
      <c r="A190" s="290"/>
      <c r="B190" s="288"/>
      <c r="C190" s="288"/>
      <c r="D190" s="288"/>
      <c r="E190" s="288"/>
      <c r="F190" s="288"/>
      <c r="G190" s="288"/>
      <c r="H190" s="288"/>
      <c r="I190" s="288"/>
      <c r="J190" s="288"/>
      <c r="K190" s="288"/>
      <c r="L190" s="288"/>
      <c r="M190" s="289"/>
    </row>
    <row r="191" spans="1:13" x14ac:dyDescent="0.2">
      <c r="A191" s="290"/>
      <c r="B191" s="288"/>
      <c r="C191" s="288"/>
      <c r="D191" s="288"/>
      <c r="E191" s="288"/>
      <c r="F191" s="288"/>
      <c r="G191" s="288"/>
      <c r="H191" s="288"/>
      <c r="I191" s="288"/>
      <c r="J191" s="288"/>
      <c r="K191" s="288"/>
      <c r="L191" s="288"/>
      <c r="M191" s="289"/>
    </row>
    <row r="192" spans="1:13" x14ac:dyDescent="0.2">
      <c r="A192" s="290"/>
      <c r="B192" s="288"/>
      <c r="C192" s="288"/>
      <c r="D192" s="288"/>
      <c r="E192" s="288"/>
      <c r="F192" s="288"/>
      <c r="G192" s="288"/>
      <c r="H192" s="288"/>
      <c r="I192" s="288"/>
      <c r="J192" s="288"/>
      <c r="K192" s="288"/>
      <c r="L192" s="288"/>
      <c r="M192" s="289"/>
    </row>
    <row r="193" spans="1:13" x14ac:dyDescent="0.2">
      <c r="A193" s="290"/>
      <c r="B193" s="288"/>
      <c r="C193" s="288"/>
      <c r="D193" s="288"/>
      <c r="E193" s="288"/>
      <c r="F193" s="288"/>
      <c r="G193" s="288"/>
      <c r="H193" s="288"/>
      <c r="I193" s="288"/>
      <c r="J193" s="288"/>
      <c r="K193" s="288"/>
      <c r="L193" s="288"/>
      <c r="M193" s="289"/>
    </row>
    <row r="194" spans="1:13" x14ac:dyDescent="0.2">
      <c r="A194" s="290"/>
      <c r="B194" s="288"/>
      <c r="C194" s="288"/>
      <c r="D194" s="288"/>
      <c r="E194" s="288"/>
      <c r="F194" s="288"/>
      <c r="G194" s="288"/>
      <c r="H194" s="288"/>
      <c r="I194" s="288"/>
      <c r="J194" s="288"/>
      <c r="K194" s="288"/>
      <c r="L194" s="288"/>
      <c r="M194" s="289"/>
    </row>
    <row r="195" spans="1:13" x14ac:dyDescent="0.2">
      <c r="A195" s="290"/>
      <c r="B195" s="288"/>
      <c r="C195" s="288"/>
      <c r="D195" s="288"/>
      <c r="E195" s="288"/>
      <c r="F195" s="288"/>
      <c r="G195" s="288"/>
      <c r="H195" s="288"/>
      <c r="I195" s="288"/>
      <c r="J195" s="288"/>
      <c r="K195" s="288"/>
      <c r="L195" s="288"/>
      <c r="M195" s="289"/>
    </row>
    <row r="196" spans="1:13" x14ac:dyDescent="0.2">
      <c r="A196" s="290"/>
      <c r="B196" s="288"/>
      <c r="C196" s="288"/>
      <c r="D196" s="288"/>
      <c r="E196" s="288"/>
      <c r="F196" s="288"/>
      <c r="G196" s="288"/>
      <c r="H196" s="288"/>
      <c r="I196" s="288"/>
      <c r="J196" s="288"/>
      <c r="K196" s="288"/>
      <c r="L196" s="288"/>
      <c r="M196" s="289"/>
    </row>
    <row r="197" spans="1:13" x14ac:dyDescent="0.2">
      <c r="A197" s="290"/>
      <c r="B197" s="288"/>
      <c r="C197" s="288"/>
      <c r="D197" s="288"/>
      <c r="E197" s="288"/>
      <c r="F197" s="288"/>
      <c r="G197" s="288"/>
      <c r="H197" s="288"/>
      <c r="I197" s="288"/>
      <c r="J197" s="288"/>
      <c r="K197" s="288"/>
      <c r="L197" s="288"/>
      <c r="M197" s="289"/>
    </row>
    <row r="198" spans="1:13" x14ac:dyDescent="0.2">
      <c r="A198" s="290"/>
      <c r="B198" s="288"/>
      <c r="C198" s="288"/>
      <c r="D198" s="288"/>
      <c r="E198" s="288"/>
      <c r="F198" s="288"/>
      <c r="G198" s="288"/>
      <c r="H198" s="288"/>
      <c r="I198" s="288"/>
      <c r="J198" s="288"/>
      <c r="K198" s="288"/>
      <c r="L198" s="288"/>
      <c r="M198" s="289"/>
    </row>
    <row r="199" spans="1:13" x14ac:dyDescent="0.2">
      <c r="A199" s="290"/>
      <c r="B199" s="288"/>
      <c r="C199" s="288"/>
      <c r="D199" s="288"/>
      <c r="E199" s="288"/>
      <c r="F199" s="288"/>
      <c r="G199" s="288"/>
      <c r="H199" s="288"/>
      <c r="I199" s="288"/>
      <c r="J199" s="288"/>
      <c r="K199" s="288"/>
      <c r="L199" s="288"/>
      <c r="M199" s="289"/>
    </row>
    <row r="200" spans="1:13" x14ac:dyDescent="0.2">
      <c r="A200" s="290"/>
      <c r="B200" s="288"/>
      <c r="C200" s="288"/>
      <c r="D200" s="288"/>
      <c r="E200" s="288"/>
      <c r="F200" s="288"/>
      <c r="G200" s="288"/>
      <c r="H200" s="288"/>
      <c r="I200" s="288"/>
      <c r="J200" s="288"/>
      <c r="K200" s="288"/>
      <c r="L200" s="288"/>
      <c r="M200" s="289"/>
    </row>
    <row r="201" spans="1:13" x14ac:dyDescent="0.2">
      <c r="A201" s="290"/>
      <c r="B201" s="288"/>
      <c r="C201" s="288"/>
      <c r="D201" s="288"/>
      <c r="E201" s="288"/>
      <c r="F201" s="288"/>
      <c r="G201" s="288"/>
      <c r="H201" s="288"/>
      <c r="I201" s="288"/>
      <c r="J201" s="288"/>
      <c r="K201" s="288"/>
      <c r="L201" s="288"/>
      <c r="M201" s="289"/>
    </row>
    <row r="202" spans="1:13" x14ac:dyDescent="0.2">
      <c r="A202" s="290"/>
      <c r="B202" s="288"/>
      <c r="C202" s="288"/>
      <c r="D202" s="288"/>
      <c r="E202" s="288"/>
      <c r="F202" s="288"/>
      <c r="G202" s="288"/>
      <c r="H202" s="288"/>
      <c r="I202" s="288"/>
      <c r="J202" s="288"/>
      <c r="K202" s="288"/>
      <c r="L202" s="288"/>
      <c r="M202" s="289"/>
    </row>
    <row r="203" spans="1:13" x14ac:dyDescent="0.2">
      <c r="A203" s="290"/>
      <c r="B203" s="288"/>
      <c r="C203" s="288"/>
      <c r="D203" s="288"/>
      <c r="E203" s="288"/>
      <c r="F203" s="288"/>
      <c r="G203" s="288"/>
      <c r="H203" s="288"/>
      <c r="I203" s="288"/>
      <c r="J203" s="288"/>
      <c r="K203" s="288"/>
      <c r="L203" s="288"/>
      <c r="M203" s="289"/>
    </row>
    <row r="204" spans="1:13" x14ac:dyDescent="0.2">
      <c r="A204" s="290"/>
      <c r="B204" s="288"/>
      <c r="C204" s="288"/>
      <c r="D204" s="288"/>
      <c r="E204" s="288"/>
      <c r="F204" s="288"/>
      <c r="G204" s="288"/>
      <c r="H204" s="288"/>
      <c r="I204" s="288"/>
      <c r="J204" s="288"/>
      <c r="K204" s="288"/>
      <c r="L204" s="288"/>
      <c r="M204" s="289"/>
    </row>
    <row r="205" spans="1:13" x14ac:dyDescent="0.2">
      <c r="A205" s="290"/>
      <c r="B205" s="288"/>
      <c r="C205" s="288"/>
      <c r="D205" s="288"/>
      <c r="E205" s="288"/>
      <c r="F205" s="288"/>
      <c r="G205" s="288"/>
      <c r="H205" s="288"/>
      <c r="I205" s="288"/>
      <c r="J205" s="288"/>
      <c r="K205" s="288"/>
      <c r="L205" s="288"/>
      <c r="M205" s="289"/>
    </row>
    <row r="206" spans="1:13" x14ac:dyDescent="0.2">
      <c r="A206" s="290"/>
      <c r="B206" s="288"/>
      <c r="C206" s="288"/>
      <c r="D206" s="288"/>
      <c r="E206" s="288"/>
      <c r="F206" s="288"/>
      <c r="G206" s="288"/>
      <c r="H206" s="288"/>
      <c r="I206" s="288"/>
      <c r="J206" s="288"/>
      <c r="K206" s="288"/>
      <c r="L206" s="288"/>
      <c r="M206" s="289"/>
    </row>
    <row r="207" spans="1:13" x14ac:dyDescent="0.2">
      <c r="A207" s="290"/>
      <c r="B207" s="288"/>
      <c r="C207" s="288"/>
      <c r="D207" s="288"/>
      <c r="E207" s="288"/>
      <c r="F207" s="288"/>
      <c r="G207" s="288"/>
      <c r="H207" s="288"/>
      <c r="I207" s="288"/>
      <c r="J207" s="288"/>
      <c r="K207" s="288"/>
      <c r="L207" s="288"/>
      <c r="M207" s="289"/>
    </row>
    <row r="208" spans="1:13" x14ac:dyDescent="0.2">
      <c r="A208" s="290"/>
      <c r="B208" s="288"/>
      <c r="C208" s="288"/>
      <c r="D208" s="288"/>
      <c r="E208" s="288"/>
      <c r="F208" s="288"/>
      <c r="G208" s="288"/>
      <c r="H208" s="288"/>
      <c r="I208" s="288"/>
      <c r="J208" s="288"/>
      <c r="K208" s="288"/>
      <c r="L208" s="288"/>
      <c r="M208" s="289"/>
    </row>
    <row r="209" spans="1:13" x14ac:dyDescent="0.2">
      <c r="A209" s="290"/>
      <c r="B209" s="288"/>
      <c r="C209" s="288"/>
      <c r="D209" s="288"/>
      <c r="E209" s="288"/>
      <c r="F209" s="288"/>
      <c r="G209" s="288"/>
      <c r="H209" s="288"/>
      <c r="I209" s="288"/>
      <c r="J209" s="288"/>
      <c r="K209" s="288"/>
      <c r="L209" s="288"/>
      <c r="M209" s="289"/>
    </row>
    <row r="210" spans="1:13" x14ac:dyDescent="0.2">
      <c r="A210" s="290"/>
      <c r="B210" s="288"/>
      <c r="C210" s="288"/>
      <c r="D210" s="288"/>
      <c r="E210" s="288"/>
      <c r="F210" s="288"/>
      <c r="G210" s="288"/>
      <c r="H210" s="288"/>
      <c r="I210" s="288"/>
      <c r="J210" s="288"/>
      <c r="K210" s="288"/>
      <c r="L210" s="288"/>
      <c r="M210" s="289"/>
    </row>
    <row r="211" spans="1:13" x14ac:dyDescent="0.2">
      <c r="A211" s="290"/>
      <c r="B211" s="288"/>
      <c r="C211" s="288"/>
      <c r="D211" s="288"/>
      <c r="E211" s="288"/>
      <c r="F211" s="288"/>
      <c r="G211" s="288"/>
      <c r="H211" s="288"/>
      <c r="I211" s="288"/>
      <c r="J211" s="288"/>
      <c r="K211" s="288"/>
      <c r="L211" s="288"/>
      <c r="M211" s="289"/>
    </row>
    <row r="212" spans="1:13" x14ac:dyDescent="0.2">
      <c r="A212" s="290"/>
      <c r="B212" s="288"/>
      <c r="C212" s="288"/>
      <c r="D212" s="288"/>
      <c r="E212" s="288"/>
      <c r="F212" s="288"/>
      <c r="G212" s="288"/>
      <c r="H212" s="288"/>
      <c r="I212" s="288"/>
      <c r="J212" s="288"/>
      <c r="K212" s="288"/>
      <c r="L212" s="288"/>
      <c r="M212" s="289"/>
    </row>
    <row r="213" spans="1:13" x14ac:dyDescent="0.2">
      <c r="A213" s="290"/>
      <c r="B213" s="288"/>
      <c r="C213" s="288"/>
      <c r="D213" s="288"/>
      <c r="E213" s="288"/>
      <c r="F213" s="288"/>
      <c r="G213" s="288"/>
      <c r="H213" s="288"/>
      <c r="I213" s="288"/>
      <c r="J213" s="288"/>
      <c r="K213" s="288"/>
      <c r="L213" s="288"/>
      <c r="M213" s="289"/>
    </row>
    <row r="214" spans="1:13" x14ac:dyDescent="0.2">
      <c r="A214" s="290"/>
      <c r="B214" s="288"/>
      <c r="C214" s="288"/>
      <c r="D214" s="288"/>
      <c r="E214" s="288"/>
      <c r="F214" s="288"/>
      <c r="G214" s="288"/>
      <c r="H214" s="288"/>
      <c r="I214" s="288"/>
      <c r="J214" s="288"/>
      <c r="K214" s="288"/>
      <c r="L214" s="288"/>
      <c r="M214" s="289"/>
    </row>
    <row r="215" spans="1:13" x14ac:dyDescent="0.2">
      <c r="A215" s="290"/>
      <c r="B215" s="288"/>
      <c r="C215" s="288"/>
      <c r="D215" s="288"/>
      <c r="E215" s="288"/>
      <c r="F215" s="288"/>
      <c r="G215" s="288"/>
      <c r="H215" s="288"/>
      <c r="I215" s="288"/>
      <c r="J215" s="288"/>
      <c r="K215" s="288"/>
      <c r="L215" s="288"/>
      <c r="M215" s="289"/>
    </row>
    <row r="216" spans="1:13" x14ac:dyDescent="0.2">
      <c r="A216" s="290"/>
      <c r="B216" s="288"/>
      <c r="C216" s="288"/>
      <c r="D216" s="288"/>
      <c r="E216" s="288"/>
      <c r="F216" s="288"/>
      <c r="G216" s="288"/>
      <c r="H216" s="288"/>
      <c r="I216" s="288"/>
      <c r="J216" s="288"/>
      <c r="K216" s="288"/>
      <c r="L216" s="288"/>
      <c r="M216" s="289"/>
    </row>
    <row r="217" spans="1:13" x14ac:dyDescent="0.2">
      <c r="A217" s="290"/>
      <c r="B217" s="288"/>
      <c r="C217" s="288"/>
      <c r="D217" s="288"/>
      <c r="E217" s="288"/>
      <c r="F217" s="288"/>
      <c r="G217" s="288"/>
      <c r="H217" s="288"/>
      <c r="I217" s="288"/>
      <c r="J217" s="288"/>
      <c r="K217" s="288"/>
      <c r="L217" s="288"/>
      <c r="M217" s="289"/>
    </row>
    <row r="218" spans="1:13" x14ac:dyDescent="0.2">
      <c r="A218" s="290"/>
      <c r="B218" s="288"/>
      <c r="C218" s="288"/>
      <c r="D218" s="288"/>
      <c r="E218" s="288"/>
      <c r="F218" s="288"/>
      <c r="G218" s="288"/>
      <c r="H218" s="288"/>
      <c r="I218" s="288"/>
      <c r="J218" s="288"/>
      <c r="K218" s="288"/>
      <c r="L218" s="288"/>
      <c r="M218" s="289"/>
    </row>
    <row r="219" spans="1:13" x14ac:dyDescent="0.2">
      <c r="A219" s="290"/>
      <c r="B219" s="288"/>
      <c r="C219" s="288"/>
      <c r="D219" s="288"/>
      <c r="E219" s="288"/>
      <c r="F219" s="288"/>
      <c r="G219" s="288"/>
      <c r="H219" s="288"/>
      <c r="I219" s="288"/>
      <c r="J219" s="288"/>
      <c r="K219" s="288"/>
      <c r="L219" s="288"/>
      <c r="M219" s="289"/>
    </row>
    <row r="220" spans="1:13" x14ac:dyDescent="0.2">
      <c r="A220" s="290"/>
      <c r="B220" s="288"/>
      <c r="C220" s="288"/>
      <c r="D220" s="288"/>
      <c r="E220" s="288"/>
      <c r="F220" s="288"/>
      <c r="G220" s="288"/>
      <c r="H220" s="288"/>
      <c r="I220" s="288"/>
      <c r="J220" s="288"/>
      <c r="K220" s="288"/>
      <c r="L220" s="288"/>
      <c r="M220" s="289"/>
    </row>
    <row r="221" spans="1:13" x14ac:dyDescent="0.2">
      <c r="A221" s="290"/>
      <c r="B221" s="288"/>
      <c r="C221" s="288"/>
      <c r="D221" s="288"/>
      <c r="E221" s="288"/>
      <c r="F221" s="288"/>
      <c r="G221" s="288"/>
      <c r="H221" s="288"/>
      <c r="I221" s="288"/>
      <c r="J221" s="288"/>
      <c r="K221" s="288"/>
      <c r="L221" s="288"/>
      <c r="M221" s="289"/>
    </row>
    <row r="222" spans="1:13" x14ac:dyDescent="0.2">
      <c r="A222" s="290"/>
      <c r="B222" s="288"/>
      <c r="C222" s="288"/>
      <c r="D222" s="288"/>
      <c r="E222" s="288"/>
      <c r="F222" s="288"/>
      <c r="G222" s="288"/>
      <c r="H222" s="288"/>
      <c r="I222" s="288"/>
      <c r="J222" s="288"/>
      <c r="K222" s="288"/>
      <c r="L222" s="288"/>
      <c r="M222" s="289"/>
    </row>
    <row r="223" spans="1:13" x14ac:dyDescent="0.2">
      <c r="A223" s="290"/>
      <c r="B223" s="288"/>
      <c r="C223" s="288"/>
      <c r="D223" s="288"/>
      <c r="E223" s="288"/>
      <c r="F223" s="288"/>
      <c r="G223" s="288"/>
      <c r="H223" s="288"/>
      <c r="I223" s="288"/>
      <c r="J223" s="288"/>
      <c r="K223" s="288"/>
      <c r="L223" s="288"/>
      <c r="M223" s="289"/>
    </row>
    <row r="224" spans="1:13" x14ac:dyDescent="0.2">
      <c r="A224" s="290"/>
      <c r="B224" s="288"/>
      <c r="C224" s="288"/>
      <c r="D224" s="288"/>
      <c r="E224" s="288"/>
      <c r="F224" s="288"/>
      <c r="G224" s="288"/>
      <c r="H224" s="288"/>
      <c r="I224" s="288"/>
      <c r="J224" s="288"/>
      <c r="K224" s="288"/>
      <c r="L224" s="288"/>
      <c r="M224" s="289"/>
    </row>
    <row r="225" spans="1:13" x14ac:dyDescent="0.2">
      <c r="A225" s="290"/>
      <c r="B225" s="288"/>
      <c r="C225" s="288"/>
      <c r="D225" s="288"/>
      <c r="E225" s="288"/>
      <c r="F225" s="288"/>
      <c r="G225" s="288"/>
      <c r="H225" s="288"/>
      <c r="I225" s="288"/>
      <c r="J225" s="288"/>
      <c r="K225" s="288"/>
      <c r="L225" s="288"/>
      <c r="M225" s="289"/>
    </row>
    <row r="226" spans="1:13" x14ac:dyDescent="0.2">
      <c r="A226" s="290"/>
      <c r="B226" s="288"/>
      <c r="C226" s="288"/>
      <c r="D226" s="288"/>
      <c r="E226" s="288"/>
      <c r="F226" s="288"/>
      <c r="G226" s="288"/>
      <c r="H226" s="288"/>
      <c r="I226" s="288"/>
      <c r="J226" s="288"/>
      <c r="K226" s="288"/>
      <c r="L226" s="288"/>
      <c r="M226" s="289"/>
    </row>
    <row r="227" spans="1:13" x14ac:dyDescent="0.2">
      <c r="A227" s="290"/>
      <c r="B227" s="288"/>
      <c r="C227" s="288"/>
      <c r="D227" s="288"/>
      <c r="E227" s="288"/>
      <c r="F227" s="288"/>
      <c r="G227" s="288"/>
      <c r="H227" s="288"/>
      <c r="I227" s="288"/>
      <c r="J227" s="288"/>
      <c r="K227" s="288"/>
      <c r="L227" s="288"/>
      <c r="M227" s="289"/>
    </row>
    <row r="228" spans="1:13" x14ac:dyDescent="0.2">
      <c r="A228" s="290"/>
      <c r="B228" s="288"/>
      <c r="C228" s="288"/>
      <c r="D228" s="288"/>
      <c r="E228" s="288"/>
      <c r="F228" s="288"/>
      <c r="G228" s="288"/>
      <c r="H228" s="288"/>
      <c r="I228" s="288"/>
      <c r="J228" s="288"/>
      <c r="K228" s="288"/>
      <c r="L228" s="288"/>
      <c r="M228" s="289"/>
    </row>
    <row r="229" spans="1:13" x14ac:dyDescent="0.2">
      <c r="A229" s="290"/>
      <c r="B229" s="288"/>
      <c r="C229" s="288"/>
      <c r="D229" s="288"/>
      <c r="E229" s="288"/>
      <c r="F229" s="288"/>
      <c r="G229" s="288"/>
      <c r="H229" s="288"/>
      <c r="I229" s="288"/>
      <c r="J229" s="288"/>
      <c r="K229" s="288"/>
      <c r="L229" s="288"/>
      <c r="M229" s="289"/>
    </row>
    <row r="230" spans="1:13" x14ac:dyDescent="0.2">
      <c r="A230" s="290"/>
      <c r="B230" s="288"/>
      <c r="C230" s="288"/>
      <c r="D230" s="288"/>
      <c r="E230" s="288"/>
      <c r="F230" s="288"/>
      <c r="G230" s="288"/>
      <c r="H230" s="288"/>
      <c r="I230" s="288"/>
      <c r="J230" s="288"/>
      <c r="K230" s="288"/>
      <c r="L230" s="288"/>
      <c r="M230" s="289"/>
    </row>
    <row r="231" spans="1:13" x14ac:dyDescent="0.2">
      <c r="A231" s="290"/>
      <c r="B231" s="288"/>
      <c r="C231" s="288"/>
      <c r="D231" s="288"/>
      <c r="E231" s="288"/>
      <c r="F231" s="288"/>
      <c r="G231" s="288"/>
      <c r="H231" s="288"/>
      <c r="I231" s="288"/>
      <c r="J231" s="288"/>
      <c r="K231" s="288"/>
      <c r="L231" s="288"/>
      <c r="M231" s="289"/>
    </row>
    <row r="232" spans="1:13" x14ac:dyDescent="0.2">
      <c r="A232" s="290"/>
      <c r="B232" s="288"/>
      <c r="C232" s="288"/>
      <c r="D232" s="288"/>
      <c r="E232" s="288"/>
      <c r="F232" s="288"/>
      <c r="G232" s="288"/>
      <c r="H232" s="288"/>
      <c r="I232" s="288"/>
      <c r="J232" s="288"/>
      <c r="K232" s="288"/>
      <c r="L232" s="288"/>
      <c r="M232" s="289"/>
    </row>
    <row r="233" spans="1:13" x14ac:dyDescent="0.2">
      <c r="A233" s="290"/>
      <c r="B233" s="288"/>
      <c r="C233" s="288"/>
      <c r="D233" s="288"/>
      <c r="E233" s="288"/>
      <c r="F233" s="288"/>
      <c r="G233" s="288"/>
      <c r="H233" s="288"/>
      <c r="I233" s="288"/>
      <c r="J233" s="288"/>
      <c r="K233" s="288"/>
      <c r="L233" s="288"/>
      <c r="M233" s="289"/>
    </row>
    <row r="234" spans="1:13" x14ac:dyDescent="0.2">
      <c r="A234" s="290"/>
      <c r="B234" s="288"/>
      <c r="C234" s="288"/>
      <c r="D234" s="288"/>
      <c r="E234" s="288"/>
      <c r="F234" s="288"/>
      <c r="G234" s="288"/>
      <c r="H234" s="288"/>
      <c r="I234" s="288"/>
      <c r="J234" s="288"/>
      <c r="K234" s="288"/>
      <c r="L234" s="288"/>
      <c r="M234" s="289"/>
    </row>
    <row r="235" spans="1:13" x14ac:dyDescent="0.2">
      <c r="A235" s="290"/>
      <c r="B235" s="288"/>
      <c r="C235" s="288"/>
      <c r="D235" s="288"/>
      <c r="E235" s="288"/>
      <c r="F235" s="288"/>
      <c r="G235" s="288"/>
      <c r="H235" s="288"/>
      <c r="I235" s="288"/>
      <c r="J235" s="288"/>
      <c r="K235" s="288"/>
      <c r="L235" s="288"/>
      <c r="M235" s="289"/>
    </row>
    <row r="236" spans="1:13" x14ac:dyDescent="0.2">
      <c r="A236" s="290"/>
      <c r="B236" s="288"/>
      <c r="C236" s="288"/>
      <c r="D236" s="288"/>
      <c r="E236" s="288"/>
      <c r="F236" s="288"/>
      <c r="G236" s="288"/>
      <c r="H236" s="288"/>
      <c r="I236" s="288"/>
      <c r="J236" s="288"/>
      <c r="K236" s="288"/>
      <c r="L236" s="288"/>
      <c r="M236" s="289"/>
    </row>
    <row r="237" spans="1:13" x14ac:dyDescent="0.2">
      <c r="A237" s="290"/>
      <c r="B237" s="288"/>
      <c r="C237" s="288"/>
      <c r="D237" s="288"/>
      <c r="E237" s="288"/>
      <c r="F237" s="288"/>
      <c r="G237" s="288"/>
      <c r="H237" s="288"/>
      <c r="I237" s="288"/>
      <c r="J237" s="288"/>
      <c r="K237" s="288"/>
      <c r="L237" s="288"/>
      <c r="M237" s="289"/>
    </row>
    <row r="238" spans="1:13" x14ac:dyDescent="0.2">
      <c r="A238" s="290"/>
      <c r="B238" s="288"/>
      <c r="C238" s="288"/>
      <c r="D238" s="288"/>
      <c r="E238" s="288"/>
      <c r="F238" s="288"/>
      <c r="G238" s="288"/>
      <c r="H238" s="288"/>
      <c r="I238" s="288"/>
      <c r="J238" s="288"/>
      <c r="K238" s="288"/>
      <c r="L238" s="288"/>
      <c r="M238" s="289"/>
    </row>
    <row r="239" spans="1:13" x14ac:dyDescent="0.2">
      <c r="A239" s="290"/>
      <c r="B239" s="288"/>
      <c r="C239" s="288"/>
      <c r="D239" s="288"/>
      <c r="E239" s="288"/>
      <c r="F239" s="288"/>
      <c r="G239" s="288"/>
      <c r="H239" s="288"/>
      <c r="I239" s="288"/>
      <c r="J239" s="288"/>
      <c r="K239" s="288"/>
      <c r="L239" s="288"/>
      <c r="M239" s="289"/>
    </row>
    <row r="240" spans="1:13" x14ac:dyDescent="0.2">
      <c r="A240" s="290"/>
      <c r="B240" s="288"/>
      <c r="C240" s="288"/>
      <c r="D240" s="288"/>
      <c r="E240" s="288"/>
      <c r="F240" s="288"/>
      <c r="G240" s="288"/>
      <c r="H240" s="288"/>
      <c r="I240" s="288"/>
      <c r="J240" s="288"/>
      <c r="K240" s="288"/>
      <c r="L240" s="288"/>
      <c r="M240" s="289"/>
    </row>
    <row r="241" spans="1:13" x14ac:dyDescent="0.2">
      <c r="A241" s="290"/>
      <c r="B241" s="288"/>
      <c r="C241" s="288"/>
      <c r="D241" s="288"/>
      <c r="E241" s="288"/>
      <c r="F241" s="288"/>
      <c r="G241" s="288"/>
      <c r="H241" s="288"/>
      <c r="I241" s="288"/>
      <c r="J241" s="288"/>
      <c r="K241" s="288"/>
      <c r="L241" s="288"/>
      <c r="M241" s="289"/>
    </row>
    <row r="242" spans="1:13" x14ac:dyDescent="0.2">
      <c r="A242" s="290"/>
      <c r="B242" s="288"/>
      <c r="C242" s="288"/>
      <c r="D242" s="288"/>
      <c r="E242" s="288"/>
      <c r="F242" s="288"/>
      <c r="G242" s="288"/>
      <c r="H242" s="288"/>
      <c r="I242" s="288"/>
      <c r="J242" s="288"/>
      <c r="K242" s="288"/>
      <c r="L242" s="288"/>
      <c r="M242" s="289"/>
    </row>
    <row r="243" spans="1:13" x14ac:dyDescent="0.2">
      <c r="A243" s="290"/>
      <c r="B243" s="288"/>
      <c r="C243" s="288"/>
      <c r="D243" s="288"/>
      <c r="E243" s="288"/>
      <c r="F243" s="288"/>
      <c r="G243" s="288"/>
      <c r="H243" s="288"/>
      <c r="I243" s="288"/>
      <c r="J243" s="288"/>
      <c r="K243" s="288"/>
      <c r="L243" s="288"/>
      <c r="M243" s="289"/>
    </row>
    <row r="244" spans="1:13" x14ac:dyDescent="0.2">
      <c r="A244" s="290"/>
      <c r="B244" s="288"/>
      <c r="C244" s="288"/>
      <c r="D244" s="288"/>
      <c r="E244" s="288"/>
      <c r="F244" s="288"/>
      <c r="G244" s="288"/>
      <c r="H244" s="288"/>
      <c r="I244" s="288"/>
      <c r="J244" s="288"/>
      <c r="K244" s="288"/>
      <c r="L244" s="288"/>
      <c r="M244" s="289"/>
    </row>
    <row r="245" spans="1:13" x14ac:dyDescent="0.2">
      <c r="A245" s="290"/>
      <c r="B245" s="288"/>
      <c r="C245" s="288"/>
      <c r="D245" s="288"/>
      <c r="E245" s="288"/>
      <c r="F245" s="288"/>
      <c r="G245" s="288"/>
      <c r="H245" s="288"/>
      <c r="I245" s="288"/>
      <c r="J245" s="288"/>
      <c r="K245" s="288"/>
      <c r="L245" s="288"/>
      <c r="M245" s="289"/>
    </row>
    <row r="246" spans="1:13" x14ac:dyDescent="0.2">
      <c r="A246" s="290"/>
      <c r="B246" s="288"/>
      <c r="C246" s="288"/>
      <c r="D246" s="288"/>
      <c r="E246" s="288"/>
      <c r="F246" s="288"/>
      <c r="G246" s="288"/>
      <c r="H246" s="288"/>
      <c r="I246" s="288"/>
      <c r="J246" s="288"/>
      <c r="K246" s="288"/>
      <c r="L246" s="288"/>
      <c r="M246" s="289"/>
    </row>
    <row r="247" spans="1:13" x14ac:dyDescent="0.2">
      <c r="A247" s="290"/>
      <c r="B247" s="288"/>
      <c r="C247" s="288"/>
      <c r="D247" s="288"/>
      <c r="E247" s="288"/>
      <c r="F247" s="288"/>
      <c r="G247" s="288"/>
      <c r="H247" s="288"/>
      <c r="I247" s="288"/>
      <c r="J247" s="288"/>
      <c r="K247" s="288"/>
      <c r="L247" s="288"/>
      <c r="M247" s="289"/>
    </row>
    <row r="248" spans="1:13" x14ac:dyDescent="0.2">
      <c r="A248" s="290"/>
      <c r="B248" s="288"/>
      <c r="C248" s="288"/>
      <c r="D248" s="288"/>
      <c r="E248" s="288"/>
      <c r="F248" s="288"/>
      <c r="G248" s="288"/>
      <c r="H248" s="288"/>
      <c r="I248" s="288"/>
      <c r="J248" s="288"/>
      <c r="K248" s="288"/>
      <c r="L248" s="288"/>
      <c r="M248" s="289"/>
    </row>
    <row r="249" spans="1:13" x14ac:dyDescent="0.2">
      <c r="A249" s="290"/>
      <c r="B249" s="288"/>
      <c r="C249" s="288"/>
      <c r="D249" s="288"/>
      <c r="E249" s="288"/>
      <c r="F249" s="288"/>
      <c r="G249" s="288"/>
      <c r="H249" s="288"/>
      <c r="I249" s="288"/>
      <c r="J249" s="288"/>
      <c r="K249" s="288"/>
      <c r="L249" s="288"/>
      <c r="M249" s="289"/>
    </row>
    <row r="250" spans="1:13" x14ac:dyDescent="0.2">
      <c r="A250" s="290"/>
      <c r="B250" s="288"/>
      <c r="C250" s="288"/>
      <c r="D250" s="288"/>
      <c r="E250" s="288"/>
      <c r="F250" s="288"/>
      <c r="G250" s="288"/>
      <c r="H250" s="288"/>
      <c r="I250" s="288"/>
      <c r="J250" s="288"/>
      <c r="K250" s="288"/>
      <c r="L250" s="288"/>
      <c r="M250" s="289"/>
    </row>
    <row r="251" spans="1:13" x14ac:dyDescent="0.2">
      <c r="A251" s="290"/>
      <c r="B251" s="288"/>
      <c r="C251" s="288"/>
      <c r="D251" s="288"/>
      <c r="E251" s="288"/>
      <c r="F251" s="288"/>
      <c r="G251" s="288"/>
      <c r="H251" s="288"/>
      <c r="I251" s="288"/>
      <c r="J251" s="288"/>
      <c r="K251" s="288"/>
      <c r="L251" s="288"/>
      <c r="M251" s="289"/>
    </row>
    <row r="252" spans="1:13" x14ac:dyDescent="0.2">
      <c r="A252" s="290"/>
      <c r="B252" s="288"/>
      <c r="C252" s="288"/>
      <c r="D252" s="288"/>
      <c r="E252" s="288"/>
      <c r="F252" s="288"/>
      <c r="G252" s="288"/>
      <c r="H252" s="288"/>
      <c r="I252" s="288"/>
      <c r="J252" s="288"/>
      <c r="K252" s="288"/>
      <c r="L252" s="288"/>
      <c r="M252" s="289"/>
    </row>
    <row r="253" spans="1:13" x14ac:dyDescent="0.2">
      <c r="A253" s="290"/>
      <c r="B253" s="288"/>
      <c r="C253" s="288"/>
      <c r="D253" s="288"/>
      <c r="E253" s="288"/>
      <c r="F253" s="288"/>
      <c r="G253" s="288"/>
      <c r="H253" s="288"/>
      <c r="I253" s="288"/>
      <c r="J253" s="288"/>
      <c r="K253" s="288"/>
      <c r="L253" s="288"/>
      <c r="M253" s="289"/>
    </row>
    <row r="254" spans="1:13" x14ac:dyDescent="0.2">
      <c r="A254" s="290"/>
      <c r="B254" s="288"/>
      <c r="C254" s="288"/>
      <c r="D254" s="288"/>
      <c r="E254" s="288"/>
      <c r="F254" s="288"/>
      <c r="G254" s="288"/>
      <c r="H254" s="288"/>
      <c r="I254" s="288"/>
      <c r="J254" s="288"/>
      <c r="K254" s="288"/>
      <c r="L254" s="288"/>
      <c r="M254" s="289"/>
    </row>
    <row r="255" spans="1:13" x14ac:dyDescent="0.2">
      <c r="A255" s="290"/>
      <c r="B255" s="288"/>
      <c r="C255" s="288"/>
      <c r="D255" s="288"/>
      <c r="E255" s="288"/>
      <c r="F255" s="288"/>
      <c r="G255" s="288"/>
      <c r="H255" s="288"/>
      <c r="I255" s="288"/>
      <c r="J255" s="288"/>
      <c r="K255" s="288"/>
      <c r="L255" s="288"/>
      <c r="M255" s="289"/>
    </row>
    <row r="256" spans="1:13" x14ac:dyDescent="0.2">
      <c r="A256" s="290"/>
      <c r="B256" s="288"/>
      <c r="C256" s="288"/>
      <c r="D256" s="288"/>
      <c r="E256" s="288"/>
      <c r="F256" s="288"/>
      <c r="G256" s="288"/>
      <c r="H256" s="288"/>
      <c r="I256" s="288"/>
      <c r="J256" s="288"/>
      <c r="K256" s="288"/>
      <c r="L256" s="288"/>
      <c r="M256" s="289"/>
    </row>
    <row r="257" spans="1:13" x14ac:dyDescent="0.2">
      <c r="A257" s="290"/>
      <c r="B257" s="288"/>
      <c r="C257" s="288"/>
      <c r="D257" s="288"/>
      <c r="E257" s="288"/>
      <c r="F257" s="288"/>
      <c r="G257" s="288"/>
      <c r="H257" s="288"/>
      <c r="I257" s="288"/>
      <c r="J257" s="288"/>
      <c r="K257" s="288"/>
      <c r="L257" s="288"/>
      <c r="M257" s="289"/>
    </row>
    <row r="258" spans="1:13" x14ac:dyDescent="0.2">
      <c r="A258" s="290"/>
      <c r="B258" s="288"/>
      <c r="C258" s="288"/>
      <c r="D258" s="288"/>
      <c r="E258" s="288"/>
      <c r="F258" s="288"/>
      <c r="G258" s="288"/>
      <c r="H258" s="288"/>
      <c r="I258" s="288"/>
      <c r="J258" s="288"/>
      <c r="K258" s="288"/>
      <c r="L258" s="288"/>
      <c r="M258" s="289"/>
    </row>
    <row r="259" spans="1:13" x14ac:dyDescent="0.2">
      <c r="A259" s="290"/>
      <c r="B259" s="288"/>
      <c r="C259" s="288"/>
      <c r="D259" s="288"/>
      <c r="E259" s="288"/>
      <c r="F259" s="288"/>
      <c r="G259" s="288"/>
      <c r="H259" s="288"/>
      <c r="I259" s="288"/>
      <c r="J259" s="288"/>
      <c r="K259" s="288"/>
      <c r="L259" s="288"/>
      <c r="M259" s="289"/>
    </row>
    <row r="260" spans="1:13" x14ac:dyDescent="0.2">
      <c r="A260" s="290"/>
      <c r="B260" s="288"/>
      <c r="C260" s="288"/>
      <c r="D260" s="288"/>
      <c r="E260" s="288"/>
      <c r="F260" s="288"/>
      <c r="G260" s="288"/>
      <c r="H260" s="288"/>
      <c r="I260" s="288"/>
      <c r="J260" s="288"/>
      <c r="K260" s="288"/>
      <c r="L260" s="288"/>
      <c r="M260" s="289"/>
    </row>
    <row r="261" spans="1:13" x14ac:dyDescent="0.2">
      <c r="A261" s="290"/>
      <c r="B261" s="288"/>
      <c r="C261" s="288"/>
      <c r="D261" s="288"/>
      <c r="E261" s="288"/>
      <c r="F261" s="288"/>
      <c r="G261" s="288"/>
      <c r="H261" s="288"/>
      <c r="I261" s="288"/>
      <c r="J261" s="288"/>
      <c r="K261" s="288"/>
      <c r="L261" s="288"/>
      <c r="M261" s="289"/>
    </row>
    <row r="262" spans="1:13" x14ac:dyDescent="0.2">
      <c r="A262" s="290"/>
      <c r="B262" s="288"/>
      <c r="C262" s="288"/>
      <c r="D262" s="288"/>
      <c r="E262" s="288"/>
      <c r="F262" s="288"/>
      <c r="G262" s="288"/>
      <c r="H262" s="288"/>
      <c r="I262" s="288"/>
      <c r="J262" s="288"/>
      <c r="K262" s="288"/>
      <c r="L262" s="288"/>
      <c r="M262" s="289"/>
    </row>
    <row r="263" spans="1:13" x14ac:dyDescent="0.2">
      <c r="A263" s="290"/>
      <c r="B263" s="288"/>
      <c r="C263" s="288"/>
      <c r="D263" s="288"/>
      <c r="E263" s="288"/>
      <c r="F263" s="288"/>
      <c r="G263" s="288"/>
      <c r="H263" s="288"/>
      <c r="I263" s="288"/>
      <c r="J263" s="288"/>
      <c r="K263" s="288"/>
      <c r="L263" s="288"/>
      <c r="M263" s="289"/>
    </row>
    <row r="264" spans="1:13" x14ac:dyDescent="0.2">
      <c r="A264" s="290"/>
      <c r="B264" s="288"/>
      <c r="C264" s="288"/>
      <c r="D264" s="288"/>
      <c r="E264" s="288"/>
      <c r="F264" s="288"/>
      <c r="G264" s="288"/>
      <c r="H264" s="288"/>
      <c r="I264" s="288"/>
      <c r="J264" s="288"/>
      <c r="K264" s="288"/>
      <c r="L264" s="288"/>
      <c r="M264" s="289"/>
    </row>
    <row r="265" spans="1:13" x14ac:dyDescent="0.2">
      <c r="A265" s="290"/>
      <c r="B265" s="288"/>
      <c r="C265" s="288"/>
      <c r="D265" s="288"/>
      <c r="E265" s="288"/>
      <c r="F265" s="288"/>
      <c r="G265" s="288"/>
      <c r="H265" s="288"/>
      <c r="I265" s="288"/>
      <c r="J265" s="288"/>
      <c r="K265" s="288"/>
      <c r="L265" s="288"/>
      <c r="M265" s="289"/>
    </row>
    <row r="266" spans="1:13" x14ac:dyDescent="0.2">
      <c r="A266" s="290"/>
      <c r="B266" s="288"/>
      <c r="C266" s="288"/>
      <c r="D266" s="288"/>
      <c r="E266" s="288"/>
      <c r="F266" s="288"/>
      <c r="G266" s="288"/>
      <c r="H266" s="288"/>
      <c r="I266" s="288"/>
      <c r="J266" s="288"/>
      <c r="K266" s="288"/>
      <c r="L266" s="288"/>
      <c r="M266" s="289"/>
    </row>
    <row r="267" spans="1:13" x14ac:dyDescent="0.2">
      <c r="A267" s="290"/>
      <c r="B267" s="288"/>
      <c r="C267" s="288"/>
      <c r="D267" s="288"/>
      <c r="E267" s="288"/>
      <c r="F267" s="288"/>
      <c r="G267" s="288"/>
      <c r="H267" s="288"/>
      <c r="I267" s="288"/>
      <c r="J267" s="288"/>
      <c r="K267" s="288"/>
      <c r="L267" s="288"/>
      <c r="M267" s="289"/>
    </row>
    <row r="268" spans="1:13" x14ac:dyDescent="0.2">
      <c r="A268" s="290"/>
      <c r="B268" s="288"/>
      <c r="C268" s="288"/>
      <c r="D268" s="288"/>
      <c r="E268" s="288"/>
      <c r="F268" s="288"/>
      <c r="G268" s="288"/>
      <c r="H268" s="288"/>
      <c r="I268" s="288"/>
      <c r="J268" s="288"/>
      <c r="K268" s="288"/>
      <c r="L268" s="288"/>
      <c r="M268" s="289"/>
    </row>
    <row r="269" spans="1:13" x14ac:dyDescent="0.2">
      <c r="A269" s="290"/>
      <c r="B269" s="288"/>
      <c r="C269" s="288"/>
      <c r="D269" s="288"/>
      <c r="E269" s="288"/>
      <c r="F269" s="288"/>
      <c r="G269" s="288"/>
      <c r="H269" s="288"/>
      <c r="I269" s="288"/>
      <c r="J269" s="288"/>
      <c r="K269" s="288"/>
      <c r="L269" s="288"/>
      <c r="M269" s="289"/>
    </row>
    <row r="270" spans="1:13" x14ac:dyDescent="0.2">
      <c r="A270" s="290"/>
      <c r="B270" s="288"/>
      <c r="C270" s="288"/>
      <c r="D270" s="288"/>
      <c r="E270" s="288"/>
      <c r="F270" s="288"/>
      <c r="G270" s="288"/>
      <c r="H270" s="288"/>
      <c r="I270" s="288"/>
      <c r="J270" s="288"/>
      <c r="K270" s="288"/>
      <c r="L270" s="288"/>
      <c r="M270" s="289"/>
    </row>
    <row r="271" spans="1:13" x14ac:dyDescent="0.2">
      <c r="A271" s="290"/>
      <c r="B271" s="288"/>
      <c r="C271" s="288"/>
      <c r="D271" s="288"/>
      <c r="E271" s="288"/>
      <c r="F271" s="288"/>
      <c r="G271" s="288"/>
      <c r="H271" s="288"/>
      <c r="I271" s="288"/>
      <c r="J271" s="288"/>
      <c r="K271" s="288"/>
      <c r="L271" s="288"/>
      <c r="M271" s="289"/>
    </row>
    <row r="272" spans="1:13" x14ac:dyDescent="0.2">
      <c r="A272" s="290"/>
      <c r="B272" s="288"/>
      <c r="C272" s="288"/>
      <c r="D272" s="288"/>
      <c r="E272" s="288"/>
      <c r="F272" s="288"/>
      <c r="G272" s="288"/>
      <c r="H272" s="288"/>
      <c r="I272" s="288"/>
      <c r="J272" s="288"/>
      <c r="K272" s="288"/>
      <c r="L272" s="288"/>
      <c r="M272" s="289"/>
    </row>
    <row r="273" spans="1:13" x14ac:dyDescent="0.2">
      <c r="A273" s="290"/>
      <c r="B273" s="288"/>
      <c r="C273" s="288"/>
      <c r="D273" s="288"/>
      <c r="E273" s="288"/>
      <c r="F273" s="288"/>
      <c r="G273" s="288"/>
      <c r="H273" s="288"/>
      <c r="I273" s="288"/>
      <c r="J273" s="288"/>
      <c r="K273" s="288"/>
      <c r="L273" s="288"/>
      <c r="M273" s="289"/>
    </row>
    <row r="274" spans="1:13" x14ac:dyDescent="0.2">
      <c r="A274" s="290"/>
      <c r="B274" s="288"/>
      <c r="C274" s="288"/>
      <c r="D274" s="288"/>
      <c r="E274" s="288"/>
      <c r="F274" s="288"/>
      <c r="G274" s="288"/>
      <c r="H274" s="288"/>
      <c r="I274" s="288"/>
      <c r="J274" s="288"/>
      <c r="K274" s="288"/>
      <c r="L274" s="288"/>
      <c r="M274" s="289"/>
    </row>
    <row r="275" spans="1:13" x14ac:dyDescent="0.2">
      <c r="A275" s="290"/>
      <c r="B275" s="288"/>
      <c r="C275" s="288"/>
      <c r="D275" s="288"/>
      <c r="E275" s="288"/>
      <c r="F275" s="288"/>
      <c r="G275" s="288"/>
      <c r="H275" s="288"/>
      <c r="I275" s="288"/>
      <c r="J275" s="288"/>
      <c r="K275" s="288"/>
      <c r="L275" s="288"/>
      <c r="M275" s="289"/>
    </row>
    <row r="276" spans="1:13" x14ac:dyDescent="0.2">
      <c r="A276" s="290"/>
      <c r="B276" s="288"/>
      <c r="C276" s="288"/>
      <c r="D276" s="288"/>
      <c r="E276" s="288"/>
      <c r="F276" s="288"/>
      <c r="G276" s="288"/>
      <c r="H276" s="288"/>
      <c r="I276" s="288"/>
      <c r="J276" s="288"/>
      <c r="K276" s="288"/>
      <c r="L276" s="288"/>
      <c r="M276" s="289"/>
    </row>
    <row r="277" spans="1:13" x14ac:dyDescent="0.2">
      <c r="A277" s="290"/>
      <c r="B277" s="288"/>
      <c r="C277" s="288"/>
      <c r="D277" s="288"/>
      <c r="E277" s="288"/>
      <c r="F277" s="288"/>
      <c r="G277" s="288"/>
      <c r="H277" s="288"/>
      <c r="I277" s="288"/>
      <c r="J277" s="288"/>
      <c r="K277" s="288"/>
      <c r="L277" s="288"/>
      <c r="M277" s="289"/>
    </row>
    <row r="278" spans="1:13" x14ac:dyDescent="0.2">
      <c r="A278" s="290"/>
      <c r="B278" s="288"/>
      <c r="C278" s="288"/>
      <c r="D278" s="288"/>
      <c r="E278" s="288"/>
      <c r="F278" s="288"/>
      <c r="G278" s="288"/>
      <c r="H278" s="288"/>
      <c r="I278" s="288"/>
      <c r="J278" s="288"/>
      <c r="K278" s="288"/>
      <c r="L278" s="288"/>
      <c r="M278" s="289"/>
    </row>
    <row r="279" spans="1:13" x14ac:dyDescent="0.2">
      <c r="A279" s="290"/>
      <c r="B279" s="288"/>
      <c r="C279" s="288"/>
      <c r="D279" s="288"/>
      <c r="E279" s="288"/>
      <c r="F279" s="288"/>
      <c r="G279" s="288"/>
      <c r="H279" s="288"/>
      <c r="I279" s="288"/>
      <c r="J279" s="288"/>
      <c r="K279" s="288"/>
      <c r="L279" s="288"/>
      <c r="M279" s="289"/>
    </row>
    <row r="280" spans="1:13" x14ac:dyDescent="0.2">
      <c r="A280" s="290"/>
      <c r="B280" s="288"/>
      <c r="C280" s="288"/>
      <c r="D280" s="288"/>
      <c r="E280" s="288"/>
      <c r="F280" s="288"/>
      <c r="G280" s="288"/>
      <c r="H280" s="288"/>
      <c r="I280" s="288"/>
      <c r="J280" s="288"/>
      <c r="K280" s="288"/>
      <c r="L280" s="288"/>
      <c r="M280" s="289"/>
    </row>
    <row r="281" spans="1:13" x14ac:dyDescent="0.2">
      <c r="A281" s="290"/>
      <c r="B281" s="288"/>
      <c r="C281" s="288"/>
      <c r="D281" s="288"/>
      <c r="E281" s="288"/>
      <c r="F281" s="288"/>
      <c r="G281" s="288"/>
      <c r="H281" s="288"/>
      <c r="I281" s="288"/>
      <c r="J281" s="288"/>
      <c r="K281" s="288"/>
      <c r="L281" s="288"/>
      <c r="M281" s="289"/>
    </row>
    <row r="282" spans="1:13" x14ac:dyDescent="0.2">
      <c r="A282" s="290"/>
      <c r="B282" s="288"/>
      <c r="C282" s="288"/>
      <c r="D282" s="288"/>
      <c r="E282" s="288"/>
      <c r="F282" s="288"/>
      <c r="G282" s="288"/>
      <c r="H282" s="288"/>
      <c r="I282" s="288"/>
      <c r="J282" s="288"/>
      <c r="K282" s="288"/>
      <c r="L282" s="288"/>
      <c r="M282" s="289"/>
    </row>
    <row r="283" spans="1:13" x14ac:dyDescent="0.2">
      <c r="A283" s="290"/>
      <c r="B283" s="288"/>
      <c r="C283" s="288"/>
      <c r="D283" s="288"/>
      <c r="E283" s="288"/>
      <c r="F283" s="288"/>
      <c r="G283" s="288"/>
      <c r="H283" s="288"/>
      <c r="I283" s="288"/>
      <c r="J283" s="288"/>
      <c r="K283" s="288"/>
      <c r="L283" s="288"/>
      <c r="M283" s="289"/>
    </row>
    <row r="284" spans="1:13" x14ac:dyDescent="0.2">
      <c r="A284" s="290"/>
      <c r="B284" s="288"/>
      <c r="C284" s="288"/>
      <c r="D284" s="288"/>
      <c r="E284" s="288"/>
      <c r="F284" s="288"/>
      <c r="G284" s="288"/>
      <c r="H284" s="288"/>
      <c r="I284" s="288"/>
      <c r="J284" s="288"/>
      <c r="K284" s="288"/>
      <c r="L284" s="288"/>
      <c r="M284" s="289"/>
    </row>
    <row r="285" spans="1:13" x14ac:dyDescent="0.2">
      <c r="A285" s="290"/>
      <c r="B285" s="288"/>
      <c r="C285" s="288"/>
      <c r="D285" s="288"/>
      <c r="E285" s="288"/>
      <c r="F285" s="288"/>
      <c r="G285" s="288"/>
      <c r="H285" s="288"/>
      <c r="I285" s="288"/>
      <c r="J285" s="288"/>
      <c r="K285" s="288"/>
      <c r="L285" s="288"/>
      <c r="M285" s="289"/>
    </row>
    <row r="286" spans="1:13" x14ac:dyDescent="0.2">
      <c r="A286" s="290"/>
      <c r="B286" s="288"/>
      <c r="C286" s="288"/>
      <c r="D286" s="288"/>
      <c r="E286" s="288"/>
      <c r="F286" s="288"/>
      <c r="G286" s="288"/>
      <c r="H286" s="288"/>
      <c r="I286" s="288"/>
      <c r="J286" s="288"/>
      <c r="K286" s="288"/>
      <c r="L286" s="288"/>
      <c r="M286" s="289"/>
    </row>
    <row r="287" spans="1:13" x14ac:dyDescent="0.2">
      <c r="A287" s="290"/>
      <c r="B287" s="288"/>
      <c r="C287" s="288"/>
      <c r="D287" s="288"/>
      <c r="E287" s="288"/>
      <c r="F287" s="288"/>
      <c r="G287" s="288"/>
      <c r="H287" s="288"/>
      <c r="I287" s="288"/>
      <c r="J287" s="288"/>
      <c r="K287" s="288"/>
      <c r="L287" s="288"/>
      <c r="M287" s="289"/>
    </row>
    <row r="288" spans="1:13" x14ac:dyDescent="0.2">
      <c r="A288" s="290"/>
      <c r="B288" s="288"/>
      <c r="C288" s="288"/>
      <c r="D288" s="288"/>
      <c r="E288" s="288"/>
      <c r="F288" s="288"/>
      <c r="G288" s="288"/>
      <c r="H288" s="288"/>
      <c r="I288" s="288"/>
      <c r="J288" s="288"/>
      <c r="K288" s="288"/>
      <c r="L288" s="288"/>
      <c r="M288" s="289"/>
    </row>
    <row r="289" spans="1:13" x14ac:dyDescent="0.2">
      <c r="A289" s="290"/>
      <c r="B289" s="288"/>
      <c r="C289" s="288"/>
      <c r="D289" s="288"/>
      <c r="E289" s="288"/>
      <c r="F289" s="288"/>
      <c r="G289" s="288"/>
      <c r="H289" s="288"/>
      <c r="I289" s="288"/>
      <c r="J289" s="288"/>
      <c r="K289" s="288"/>
      <c r="L289" s="288"/>
      <c r="M289" s="289"/>
    </row>
    <row r="290" spans="1:13" x14ac:dyDescent="0.2">
      <c r="A290" s="290"/>
      <c r="B290" s="288"/>
      <c r="C290" s="288"/>
      <c r="D290" s="288"/>
      <c r="E290" s="288"/>
      <c r="F290" s="288"/>
      <c r="G290" s="288"/>
      <c r="H290" s="288"/>
      <c r="I290" s="288"/>
      <c r="J290" s="288"/>
      <c r="K290" s="288"/>
      <c r="L290" s="288"/>
      <c r="M290" s="289"/>
    </row>
    <row r="291" spans="1:13" x14ac:dyDescent="0.2">
      <c r="A291" s="290"/>
      <c r="B291" s="288"/>
      <c r="C291" s="288"/>
      <c r="D291" s="288"/>
      <c r="E291" s="288"/>
      <c r="F291" s="288"/>
      <c r="G291" s="288"/>
      <c r="H291" s="288"/>
      <c r="I291" s="288"/>
      <c r="J291" s="288"/>
      <c r="K291" s="288"/>
      <c r="L291" s="288"/>
      <c r="M291" s="289"/>
    </row>
    <row r="292" spans="1:13" x14ac:dyDescent="0.2">
      <c r="A292" s="290"/>
      <c r="B292" s="288"/>
      <c r="C292" s="288"/>
      <c r="D292" s="288"/>
      <c r="E292" s="288"/>
      <c r="F292" s="288"/>
      <c r="G292" s="288"/>
      <c r="H292" s="288"/>
      <c r="I292" s="288"/>
      <c r="J292" s="288"/>
      <c r="K292" s="288"/>
      <c r="L292" s="288"/>
      <c r="M292" s="289"/>
    </row>
    <row r="293" spans="1:13" x14ac:dyDescent="0.2">
      <c r="A293" s="290"/>
      <c r="B293" s="288"/>
      <c r="C293" s="288"/>
      <c r="D293" s="288"/>
      <c r="E293" s="288"/>
      <c r="F293" s="288"/>
      <c r="G293" s="288"/>
      <c r="H293" s="288"/>
      <c r="I293" s="288"/>
      <c r="J293" s="288"/>
      <c r="K293" s="288"/>
      <c r="L293" s="288"/>
      <c r="M293" s="289"/>
    </row>
    <row r="294" spans="1:13" x14ac:dyDescent="0.2">
      <c r="A294" s="290"/>
      <c r="B294" s="288"/>
      <c r="C294" s="288"/>
      <c r="D294" s="288"/>
      <c r="E294" s="288"/>
      <c r="F294" s="288"/>
      <c r="G294" s="288"/>
      <c r="H294" s="288"/>
      <c r="I294" s="288"/>
      <c r="J294" s="288"/>
      <c r="K294" s="288"/>
      <c r="L294" s="288"/>
      <c r="M294" s="289"/>
    </row>
    <row r="295" spans="1:13" x14ac:dyDescent="0.2">
      <c r="A295" s="290"/>
      <c r="B295" s="288"/>
      <c r="C295" s="288"/>
      <c r="D295" s="288"/>
      <c r="E295" s="288"/>
      <c r="F295" s="288"/>
      <c r="G295" s="288"/>
      <c r="H295" s="288"/>
      <c r="I295" s="288"/>
      <c r="J295" s="288"/>
      <c r="K295" s="288"/>
      <c r="L295" s="288"/>
      <c r="M295" s="289"/>
    </row>
    <row r="296" spans="1:13" x14ac:dyDescent="0.2">
      <c r="A296" s="290"/>
      <c r="B296" s="288"/>
      <c r="C296" s="288"/>
      <c r="D296" s="288"/>
      <c r="E296" s="288"/>
      <c r="F296" s="288"/>
      <c r="G296" s="288"/>
      <c r="H296" s="288"/>
      <c r="I296" s="288"/>
      <c r="J296" s="288"/>
      <c r="K296" s="288"/>
      <c r="L296" s="288"/>
      <c r="M296" s="289"/>
    </row>
    <row r="297" spans="1:13" x14ac:dyDescent="0.2">
      <c r="A297" s="290"/>
      <c r="B297" s="288"/>
      <c r="C297" s="288"/>
      <c r="D297" s="288"/>
      <c r="E297" s="288"/>
      <c r="F297" s="288"/>
      <c r="G297" s="288"/>
      <c r="H297" s="288"/>
      <c r="I297" s="288"/>
      <c r="J297" s="288"/>
      <c r="K297" s="288"/>
      <c r="L297" s="288"/>
      <c r="M297" s="289"/>
    </row>
    <row r="298" spans="1:13" x14ac:dyDescent="0.2">
      <c r="A298" s="290"/>
      <c r="B298" s="288"/>
      <c r="C298" s="288"/>
      <c r="D298" s="288"/>
      <c r="E298" s="288"/>
      <c r="F298" s="288"/>
      <c r="G298" s="288"/>
      <c r="H298" s="288"/>
      <c r="I298" s="288"/>
      <c r="J298" s="288"/>
      <c r="K298" s="288"/>
      <c r="L298" s="288"/>
      <c r="M298" s="289"/>
    </row>
    <row r="299" spans="1:13" x14ac:dyDescent="0.2">
      <c r="A299" s="290"/>
      <c r="B299" s="288"/>
      <c r="C299" s="288"/>
      <c r="D299" s="288"/>
      <c r="E299" s="288"/>
      <c r="F299" s="288"/>
      <c r="G299" s="288"/>
      <c r="H299" s="288"/>
      <c r="I299" s="288"/>
      <c r="J299" s="288"/>
      <c r="K299" s="288"/>
      <c r="L299" s="288"/>
      <c r="M299" s="289"/>
    </row>
    <row r="300" spans="1:13" x14ac:dyDescent="0.2">
      <c r="A300" s="290"/>
      <c r="B300" s="288"/>
      <c r="C300" s="288"/>
      <c r="D300" s="288"/>
      <c r="E300" s="288"/>
      <c r="F300" s="288"/>
      <c r="G300" s="288"/>
      <c r="H300" s="288"/>
      <c r="I300" s="288"/>
      <c r="J300" s="288"/>
      <c r="K300" s="288"/>
      <c r="L300" s="288"/>
      <c r="M300" s="289"/>
    </row>
    <row r="301" spans="1:13" x14ac:dyDescent="0.2">
      <c r="A301" s="290"/>
      <c r="B301" s="288"/>
      <c r="C301" s="288"/>
      <c r="D301" s="288"/>
      <c r="E301" s="288"/>
      <c r="F301" s="288"/>
      <c r="G301" s="288"/>
      <c r="H301" s="288"/>
      <c r="I301" s="288"/>
      <c r="J301" s="288"/>
      <c r="K301" s="288"/>
      <c r="L301" s="288"/>
      <c r="M301" s="289"/>
    </row>
    <row r="302" spans="1:13" x14ac:dyDescent="0.2">
      <c r="A302" s="290"/>
      <c r="B302" s="288"/>
      <c r="C302" s="288"/>
      <c r="D302" s="288"/>
      <c r="E302" s="288"/>
      <c r="F302" s="288"/>
      <c r="G302" s="288"/>
      <c r="H302" s="288"/>
      <c r="I302" s="288"/>
      <c r="J302" s="288"/>
      <c r="K302" s="288"/>
      <c r="L302" s="288"/>
      <c r="M302" s="289"/>
    </row>
    <row r="303" spans="1:13" x14ac:dyDescent="0.2">
      <c r="A303" s="290"/>
      <c r="B303" s="288"/>
      <c r="C303" s="288"/>
      <c r="D303" s="288"/>
      <c r="E303" s="288"/>
      <c r="F303" s="288"/>
      <c r="G303" s="288"/>
      <c r="H303" s="288"/>
      <c r="I303" s="288"/>
      <c r="J303" s="288"/>
      <c r="K303" s="288"/>
      <c r="L303" s="288"/>
      <c r="M303" s="289"/>
    </row>
    <row r="304" spans="1:13" x14ac:dyDescent="0.2">
      <c r="A304" s="290"/>
      <c r="B304" s="288"/>
      <c r="C304" s="288"/>
      <c r="D304" s="288"/>
      <c r="E304" s="288"/>
      <c r="F304" s="288"/>
      <c r="G304" s="288"/>
      <c r="H304" s="288"/>
      <c r="I304" s="288"/>
      <c r="J304" s="288"/>
      <c r="K304" s="288"/>
      <c r="L304" s="288"/>
      <c r="M304" s="289"/>
    </row>
    <row r="305" spans="1:13" x14ac:dyDescent="0.2">
      <c r="A305" s="290"/>
      <c r="B305" s="288"/>
      <c r="C305" s="288"/>
      <c r="D305" s="288"/>
      <c r="E305" s="288"/>
      <c r="F305" s="288"/>
      <c r="G305" s="288"/>
      <c r="H305" s="288"/>
      <c r="I305" s="288"/>
      <c r="J305" s="288"/>
      <c r="K305" s="288"/>
      <c r="L305" s="288"/>
      <c r="M305" s="289"/>
    </row>
    <row r="306" spans="1:13" x14ac:dyDescent="0.2">
      <c r="A306" s="290"/>
      <c r="B306" s="288"/>
      <c r="C306" s="288"/>
      <c r="D306" s="288"/>
      <c r="E306" s="288"/>
      <c r="F306" s="288"/>
      <c r="G306" s="288"/>
      <c r="H306" s="288"/>
      <c r="I306" s="288"/>
      <c r="J306" s="288"/>
      <c r="K306" s="288"/>
      <c r="L306" s="288"/>
      <c r="M306" s="289"/>
    </row>
    <row r="307" spans="1:13" x14ac:dyDescent="0.2">
      <c r="A307" s="290"/>
      <c r="B307" s="288"/>
      <c r="C307" s="288"/>
      <c r="D307" s="288"/>
      <c r="E307" s="288"/>
      <c r="F307" s="288"/>
      <c r="G307" s="288"/>
      <c r="H307" s="288"/>
      <c r="I307" s="288"/>
      <c r="J307" s="288"/>
      <c r="K307" s="288"/>
      <c r="L307" s="288"/>
      <c r="M307" s="289"/>
    </row>
    <row r="308" spans="1:13" x14ac:dyDescent="0.2">
      <c r="A308" s="290"/>
      <c r="B308" s="288"/>
      <c r="C308" s="288"/>
      <c r="D308" s="288"/>
      <c r="E308" s="288"/>
      <c r="F308" s="288"/>
      <c r="G308" s="288"/>
      <c r="H308" s="288"/>
      <c r="I308" s="288"/>
      <c r="J308" s="288"/>
      <c r="K308" s="288"/>
      <c r="L308" s="288"/>
      <c r="M308" s="289"/>
    </row>
    <row r="309" spans="1:13" x14ac:dyDescent="0.2">
      <c r="A309" s="290"/>
      <c r="B309" s="288"/>
      <c r="C309" s="288"/>
      <c r="D309" s="288"/>
      <c r="E309" s="288"/>
      <c r="F309" s="288"/>
      <c r="G309" s="288"/>
      <c r="H309" s="288"/>
      <c r="I309" s="288"/>
      <c r="J309" s="288"/>
      <c r="K309" s="288"/>
      <c r="L309" s="288"/>
      <c r="M309" s="289"/>
    </row>
    <row r="310" spans="1:13" x14ac:dyDescent="0.2">
      <c r="A310" s="290"/>
      <c r="B310" s="288"/>
      <c r="C310" s="288"/>
      <c r="D310" s="288"/>
      <c r="E310" s="288"/>
      <c r="F310" s="288"/>
      <c r="G310" s="288"/>
      <c r="H310" s="288"/>
      <c r="I310" s="288"/>
      <c r="J310" s="288"/>
      <c r="K310" s="288"/>
      <c r="L310" s="288"/>
      <c r="M310" s="289"/>
    </row>
    <row r="311" spans="1:13" x14ac:dyDescent="0.2">
      <c r="A311" s="291"/>
      <c r="B311" s="292"/>
      <c r="C311" s="292"/>
      <c r="D311" s="292"/>
      <c r="E311" s="292"/>
      <c r="F311" s="292"/>
      <c r="G311" s="292"/>
      <c r="H311" s="292"/>
      <c r="I311" s="292"/>
      <c r="J311" s="292"/>
      <c r="K311" s="292"/>
      <c r="L311" s="292"/>
      <c r="M311" s="293"/>
    </row>
  </sheetData>
  <sheetProtection password="C44C" sheet="1" objects="1" scenarios="1"/>
  <mergeCells count="18">
    <mergeCell ref="C123:G123"/>
    <mergeCell ref="A164:M311"/>
    <mergeCell ref="C111:G111"/>
    <mergeCell ref="C110:G110"/>
    <mergeCell ref="B127:K162"/>
    <mergeCell ref="C117:G117"/>
    <mergeCell ref="C116:G116"/>
    <mergeCell ref="C115:G115"/>
    <mergeCell ref="C114:G114"/>
    <mergeCell ref="C113:G113"/>
    <mergeCell ref="C112:G112"/>
    <mergeCell ref="B107:C107"/>
    <mergeCell ref="B108:C108"/>
    <mergeCell ref="C122:G122"/>
    <mergeCell ref="C121:G121"/>
    <mergeCell ref="C120:G120"/>
    <mergeCell ref="C119:G119"/>
    <mergeCell ref="C118:G118"/>
  </mergeCells>
  <phoneticPr fontId="2" type="noConversion"/>
  <pageMargins left="0.51181102362204722" right="0.51181102362204722" top="0.78740157480314965" bottom="0.78740157480314965" header="0.31496062992125984" footer="0.31496062992125984"/>
  <pageSetup paperSize="9" scale="61" fitToHeight="9" orientation="portrait" r:id="rId1"/>
  <rowBreaks count="8" manualBreakCount="8">
    <brk id="32" max="13" man="1"/>
    <brk id="57" max="13" man="1"/>
    <brk id="99" max="13" man="1"/>
    <brk id="139" max="13" man="1"/>
    <brk id="171" max="13" man="1"/>
    <brk id="211" max="13" man="1"/>
    <brk id="250" max="13" man="1"/>
    <brk id="289" max="1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06">
    <pageSetUpPr fitToPage="1"/>
  </sheetPr>
  <dimension ref="A1:H91"/>
  <sheetViews>
    <sheetView showGridLines="0" topLeftCell="A40" zoomScale="85" zoomScaleNormal="85" zoomScaleSheetLayoutView="100" workbookViewId="0">
      <selection activeCell="B64" sqref="B64:F64"/>
    </sheetView>
  </sheetViews>
  <sheetFormatPr defaultRowHeight="12.75" x14ac:dyDescent="0.2"/>
  <cols>
    <col min="1" max="1" width="4.7109375" style="89" customWidth="1"/>
    <col min="2" max="4" width="10.7109375" style="89" customWidth="1"/>
    <col min="5" max="5" width="16.7109375" style="89" customWidth="1"/>
    <col min="6" max="6" width="133.7109375" style="89" customWidth="1"/>
    <col min="7" max="16384" width="9.140625" style="25"/>
  </cols>
  <sheetData>
    <row r="1" spans="1:8" x14ac:dyDescent="0.2">
      <c r="A1" s="299" t="s">
        <v>128</v>
      </c>
      <c r="B1" s="299"/>
      <c r="C1" s="299"/>
      <c r="D1" s="299"/>
      <c r="E1" s="299"/>
      <c r="F1" s="299"/>
      <c r="H1" s="295" t="s">
        <v>1236</v>
      </c>
    </row>
    <row r="2" spans="1:8" x14ac:dyDescent="0.2">
      <c r="A2" s="94"/>
      <c r="B2" s="94"/>
      <c r="C2" s="94"/>
      <c r="D2" s="94"/>
      <c r="E2" s="94"/>
      <c r="F2" s="94"/>
      <c r="H2" s="296"/>
    </row>
    <row r="3" spans="1:8" x14ac:dyDescent="0.2">
      <c r="A3" s="300" t="s">
        <v>193</v>
      </c>
      <c r="B3" s="300"/>
      <c r="C3" s="300"/>
      <c r="D3" s="300"/>
      <c r="E3" s="300"/>
      <c r="F3" s="300"/>
    </row>
    <row r="5" spans="1:8" x14ac:dyDescent="0.2">
      <c r="A5" s="299" t="s">
        <v>111</v>
      </c>
      <c r="B5" s="299"/>
      <c r="C5" s="299"/>
      <c r="D5" s="299"/>
      <c r="E5" s="299"/>
      <c r="F5" s="299"/>
      <c r="G5" s="89"/>
    </row>
    <row r="6" spans="1:8" ht="25.5" x14ac:dyDescent="0.2">
      <c r="A6" s="88" t="s">
        <v>112</v>
      </c>
      <c r="B6" s="88" t="s">
        <v>113</v>
      </c>
      <c r="C6" s="88" t="s">
        <v>114</v>
      </c>
      <c r="D6" s="88" t="s">
        <v>115</v>
      </c>
      <c r="E6" s="88" t="s">
        <v>178</v>
      </c>
      <c r="F6" s="88"/>
      <c r="G6" s="89"/>
    </row>
    <row r="7" spans="1:8" x14ac:dyDescent="0.2">
      <c r="A7" s="90">
        <v>1</v>
      </c>
      <c r="B7" s="91">
        <v>1</v>
      </c>
      <c r="C7" s="91">
        <v>1</v>
      </c>
      <c r="D7" s="91">
        <v>1</v>
      </c>
      <c r="E7" s="90" t="s">
        <v>116</v>
      </c>
      <c r="F7" s="90" t="s">
        <v>179</v>
      </c>
    </row>
    <row r="8" spans="1:8" x14ac:dyDescent="0.2">
      <c r="A8" s="90">
        <v>2</v>
      </c>
      <c r="B8" s="91">
        <v>2</v>
      </c>
      <c r="C8" s="91">
        <v>2</v>
      </c>
      <c r="D8" s="91">
        <v>1</v>
      </c>
      <c r="E8" s="90" t="s">
        <v>116</v>
      </c>
      <c r="F8" s="90" t="s">
        <v>181</v>
      </c>
    </row>
    <row r="9" spans="1:8" x14ac:dyDescent="0.2">
      <c r="A9" s="90">
        <v>3</v>
      </c>
      <c r="B9" s="91">
        <v>3</v>
      </c>
      <c r="C9" s="91">
        <v>9</v>
      </c>
      <c r="D9" s="91">
        <v>7</v>
      </c>
      <c r="E9" s="90" t="s">
        <v>117</v>
      </c>
      <c r="F9" s="90" t="s">
        <v>182</v>
      </c>
    </row>
    <row r="10" spans="1:8" x14ac:dyDescent="0.2">
      <c r="A10" s="90">
        <v>4</v>
      </c>
      <c r="B10" s="91">
        <v>10</v>
      </c>
      <c r="C10" s="91">
        <v>11</v>
      </c>
      <c r="D10" s="91">
        <v>2</v>
      </c>
      <c r="E10" s="90" t="s">
        <v>118</v>
      </c>
      <c r="F10" s="90" t="s">
        <v>183</v>
      </c>
    </row>
    <row r="11" spans="1:8" x14ac:dyDescent="0.2">
      <c r="A11" s="90">
        <v>5</v>
      </c>
      <c r="B11" s="91">
        <v>12</v>
      </c>
      <c r="C11" s="91">
        <v>19</v>
      </c>
      <c r="D11" s="91">
        <v>8</v>
      </c>
      <c r="E11" s="90" t="s">
        <v>119</v>
      </c>
      <c r="F11" s="135" t="s">
        <v>1720</v>
      </c>
    </row>
    <row r="12" spans="1:8" x14ac:dyDescent="0.2">
      <c r="A12" s="90">
        <v>6</v>
      </c>
      <c r="B12" s="91">
        <v>20</v>
      </c>
      <c r="C12" s="91">
        <v>26</v>
      </c>
      <c r="D12" s="91">
        <v>7</v>
      </c>
      <c r="E12" s="90" t="s">
        <v>117</v>
      </c>
      <c r="F12" s="90" t="s">
        <v>188</v>
      </c>
    </row>
    <row r="13" spans="1:8" x14ac:dyDescent="0.2">
      <c r="A13" s="90">
        <v>7</v>
      </c>
      <c r="B13" s="91">
        <v>27</v>
      </c>
      <c r="C13" s="91">
        <v>30</v>
      </c>
      <c r="D13" s="91">
        <v>4</v>
      </c>
      <c r="E13" s="90" t="s">
        <v>120</v>
      </c>
      <c r="F13" s="90" t="s">
        <v>184</v>
      </c>
    </row>
    <row r="14" spans="1:8" x14ac:dyDescent="0.2">
      <c r="A14" s="90">
        <v>8</v>
      </c>
      <c r="B14" s="91">
        <v>31</v>
      </c>
      <c r="C14" s="91">
        <v>31</v>
      </c>
      <c r="D14" s="91">
        <v>1</v>
      </c>
      <c r="E14" s="90" t="s">
        <v>121</v>
      </c>
      <c r="F14" s="90" t="s">
        <v>185</v>
      </c>
    </row>
    <row r="15" spans="1:8" x14ac:dyDescent="0.2">
      <c r="A15" s="90">
        <v>9</v>
      </c>
      <c r="B15" s="91">
        <v>32</v>
      </c>
      <c r="C15" s="91">
        <v>39</v>
      </c>
      <c r="D15" s="91">
        <v>8</v>
      </c>
      <c r="E15" s="90" t="s">
        <v>122</v>
      </c>
      <c r="F15" s="135" t="s">
        <v>2719</v>
      </c>
    </row>
    <row r="16" spans="1:8" x14ac:dyDescent="0.2">
      <c r="A16" s="90">
        <v>10</v>
      </c>
      <c r="B16" s="91">
        <v>40</v>
      </c>
      <c r="C16" s="91">
        <v>40</v>
      </c>
      <c r="D16" s="91">
        <v>1</v>
      </c>
      <c r="E16" s="90" t="s">
        <v>121</v>
      </c>
      <c r="F16" s="90" t="s">
        <v>186</v>
      </c>
    </row>
    <row r="17" spans="1:6" x14ac:dyDescent="0.2">
      <c r="A17" s="90">
        <v>11</v>
      </c>
      <c r="B17" s="91">
        <v>41</v>
      </c>
      <c r="C17" s="91">
        <v>46</v>
      </c>
      <c r="D17" s="91">
        <v>6</v>
      </c>
      <c r="E17" s="90" t="s">
        <v>123</v>
      </c>
      <c r="F17" s="90" t="s">
        <v>187</v>
      </c>
    </row>
    <row r="18" spans="1:6" x14ac:dyDescent="0.2">
      <c r="A18" s="90">
        <v>12</v>
      </c>
      <c r="B18" s="91">
        <v>47</v>
      </c>
      <c r="C18" s="91">
        <v>76</v>
      </c>
      <c r="D18" s="91">
        <v>30</v>
      </c>
      <c r="E18" s="90" t="s">
        <v>124</v>
      </c>
      <c r="F18" s="135" t="s">
        <v>2720</v>
      </c>
    </row>
    <row r="19" spans="1:6" x14ac:dyDescent="0.2">
      <c r="A19" s="90">
        <v>13</v>
      </c>
      <c r="B19" s="91">
        <v>77</v>
      </c>
      <c r="C19" s="91">
        <v>94</v>
      </c>
      <c r="D19" s="91">
        <v>18</v>
      </c>
      <c r="E19" s="90" t="s">
        <v>125</v>
      </c>
      <c r="F19" s="90" t="s">
        <v>189</v>
      </c>
    </row>
    <row r="20" spans="1:6" x14ac:dyDescent="0.2">
      <c r="A20" s="90">
        <v>14</v>
      </c>
      <c r="B20" s="91">
        <v>95</v>
      </c>
      <c r="C20" s="91">
        <v>100</v>
      </c>
      <c r="D20" s="91">
        <v>6</v>
      </c>
      <c r="E20" s="90" t="s">
        <v>123</v>
      </c>
      <c r="F20" s="90" t="s">
        <v>190</v>
      </c>
    </row>
    <row r="21" spans="1:6" x14ac:dyDescent="0.2">
      <c r="A21" s="90">
        <v>15</v>
      </c>
      <c r="B21" s="91">
        <v>101</v>
      </c>
      <c r="C21" s="91">
        <v>107</v>
      </c>
      <c r="D21" s="91">
        <v>7</v>
      </c>
      <c r="E21" s="90" t="s">
        <v>126</v>
      </c>
      <c r="F21" s="90" t="s">
        <v>191</v>
      </c>
    </row>
    <row r="22" spans="1:6" x14ac:dyDescent="0.2">
      <c r="A22" s="90">
        <v>16</v>
      </c>
      <c r="B22" s="91">
        <v>108</v>
      </c>
      <c r="C22" s="91">
        <v>394</v>
      </c>
      <c r="D22" s="91">
        <v>287</v>
      </c>
      <c r="E22" s="90" t="s">
        <v>127</v>
      </c>
      <c r="F22" s="90" t="s">
        <v>188</v>
      </c>
    </row>
    <row r="23" spans="1:6" x14ac:dyDescent="0.2">
      <c r="A23" s="90">
        <v>17</v>
      </c>
      <c r="B23" s="91">
        <v>395</v>
      </c>
      <c r="C23" s="91">
        <v>400</v>
      </c>
      <c r="D23" s="91">
        <v>6</v>
      </c>
      <c r="E23" s="90" t="s">
        <v>123</v>
      </c>
      <c r="F23" s="90" t="s">
        <v>192</v>
      </c>
    </row>
    <row r="24" spans="1:6" x14ac:dyDescent="0.2">
      <c r="D24" s="92"/>
    </row>
    <row r="25" spans="1:6" x14ac:dyDescent="0.2">
      <c r="A25" s="297" t="s">
        <v>129</v>
      </c>
      <c r="B25" s="298"/>
      <c r="C25" s="298"/>
      <c r="D25" s="298"/>
      <c r="E25" s="298"/>
      <c r="F25" s="298"/>
    </row>
    <row r="26" spans="1:6" ht="25.5" x14ac:dyDescent="0.2">
      <c r="A26" s="88" t="s">
        <v>112</v>
      </c>
      <c r="B26" s="88" t="s">
        <v>113</v>
      </c>
      <c r="C26" s="88" t="s">
        <v>114</v>
      </c>
      <c r="D26" s="88" t="s">
        <v>115</v>
      </c>
      <c r="E26" s="88" t="s">
        <v>178</v>
      </c>
      <c r="F26" s="88" t="s">
        <v>180</v>
      </c>
    </row>
    <row r="27" spans="1:6" x14ac:dyDescent="0.2">
      <c r="A27" s="90">
        <v>1</v>
      </c>
      <c r="B27" s="91">
        <v>1</v>
      </c>
      <c r="C27" s="91">
        <v>1</v>
      </c>
      <c r="D27" s="91">
        <v>1</v>
      </c>
      <c r="E27" s="90" t="s">
        <v>130</v>
      </c>
      <c r="F27" s="90" t="s">
        <v>194</v>
      </c>
    </row>
    <row r="28" spans="1:6" ht="38.25" x14ac:dyDescent="0.2">
      <c r="A28" s="172">
        <v>2</v>
      </c>
      <c r="B28" s="173">
        <v>2</v>
      </c>
      <c r="C28" s="173">
        <v>3</v>
      </c>
      <c r="D28" s="173">
        <v>2</v>
      </c>
      <c r="E28" s="172" t="s">
        <v>131</v>
      </c>
      <c r="F28" s="135" t="s">
        <v>2721</v>
      </c>
    </row>
    <row r="29" spans="1:6" x14ac:dyDescent="0.2">
      <c r="A29" s="172">
        <v>3</v>
      </c>
      <c r="B29" s="173">
        <v>4</v>
      </c>
      <c r="C29" s="173">
        <v>17</v>
      </c>
      <c r="D29" s="173">
        <v>14</v>
      </c>
      <c r="E29" s="172" t="s">
        <v>132</v>
      </c>
      <c r="F29" s="135" t="s">
        <v>2722</v>
      </c>
    </row>
    <row r="30" spans="1:6" x14ac:dyDescent="0.2">
      <c r="A30" s="172">
        <v>4</v>
      </c>
      <c r="B30" s="173">
        <v>18</v>
      </c>
      <c r="C30" s="173">
        <v>21</v>
      </c>
      <c r="D30" s="173">
        <v>4</v>
      </c>
      <c r="E30" s="172" t="s">
        <v>133</v>
      </c>
      <c r="F30" s="90" t="s">
        <v>184</v>
      </c>
    </row>
    <row r="31" spans="1:6" x14ac:dyDescent="0.2">
      <c r="A31" s="172">
        <v>5</v>
      </c>
      <c r="B31" s="173">
        <v>22</v>
      </c>
      <c r="C31" s="173">
        <v>22</v>
      </c>
      <c r="D31" s="173">
        <v>1</v>
      </c>
      <c r="E31" s="172" t="s">
        <v>130</v>
      </c>
      <c r="F31" s="90" t="s">
        <v>185</v>
      </c>
    </row>
    <row r="32" spans="1:6" x14ac:dyDescent="0.2">
      <c r="A32" s="172">
        <v>6</v>
      </c>
      <c r="B32" s="173">
        <v>23</v>
      </c>
      <c r="C32" s="173">
        <v>30</v>
      </c>
      <c r="D32" s="173">
        <v>8</v>
      </c>
      <c r="E32" s="172" t="s">
        <v>134</v>
      </c>
      <c r="F32" s="90" t="s">
        <v>195</v>
      </c>
    </row>
    <row r="33" spans="1:7" x14ac:dyDescent="0.2">
      <c r="A33" s="172">
        <v>7</v>
      </c>
      <c r="B33" s="173">
        <v>31</v>
      </c>
      <c r="C33" s="173">
        <v>31</v>
      </c>
      <c r="D33" s="173">
        <v>1</v>
      </c>
      <c r="E33" s="172" t="s">
        <v>135</v>
      </c>
      <c r="F33" s="90" t="s">
        <v>196</v>
      </c>
    </row>
    <row r="34" spans="1:7" x14ac:dyDescent="0.2">
      <c r="A34" s="172">
        <v>8</v>
      </c>
      <c r="B34" s="173">
        <v>32</v>
      </c>
      <c r="C34" s="173">
        <v>37</v>
      </c>
      <c r="D34" s="173">
        <v>6</v>
      </c>
      <c r="E34" s="172" t="s">
        <v>136</v>
      </c>
      <c r="F34" s="90" t="s">
        <v>2723</v>
      </c>
    </row>
    <row r="35" spans="1:7" x14ac:dyDescent="0.2">
      <c r="A35" s="172">
        <v>9</v>
      </c>
      <c r="B35" s="173">
        <v>38</v>
      </c>
      <c r="C35" s="173">
        <v>62</v>
      </c>
      <c r="D35" s="173">
        <v>25</v>
      </c>
      <c r="E35" s="172" t="s">
        <v>137</v>
      </c>
      <c r="F35" s="90" t="s">
        <v>197</v>
      </c>
    </row>
    <row r="36" spans="1:7" ht="76.5" x14ac:dyDescent="0.2">
      <c r="A36" s="172">
        <v>10</v>
      </c>
      <c r="B36" s="173">
        <v>63</v>
      </c>
      <c r="C36" s="173">
        <v>74</v>
      </c>
      <c r="D36" s="173">
        <v>12</v>
      </c>
      <c r="E36" s="172" t="s">
        <v>198</v>
      </c>
      <c r="F36" s="135" t="s">
        <v>2724</v>
      </c>
    </row>
    <row r="37" spans="1:7" x14ac:dyDescent="0.2">
      <c r="A37" s="172">
        <v>11</v>
      </c>
      <c r="B37" s="173">
        <v>75</v>
      </c>
      <c r="C37" s="173">
        <v>76</v>
      </c>
      <c r="D37" s="173">
        <v>2</v>
      </c>
      <c r="E37" s="172" t="s">
        <v>131</v>
      </c>
      <c r="F37" s="90" t="s">
        <v>233</v>
      </c>
    </row>
    <row r="38" spans="1:7" x14ac:dyDescent="0.2">
      <c r="A38" s="172">
        <v>12</v>
      </c>
      <c r="B38" s="173">
        <v>77</v>
      </c>
      <c r="C38" s="173">
        <v>78</v>
      </c>
      <c r="D38" s="173">
        <v>2</v>
      </c>
      <c r="E38" s="172" t="s">
        <v>131</v>
      </c>
      <c r="F38" s="90" t="s">
        <v>199</v>
      </c>
    </row>
    <row r="39" spans="1:7" x14ac:dyDescent="0.2">
      <c r="A39" s="172">
        <v>13</v>
      </c>
      <c r="B39" s="173">
        <v>79</v>
      </c>
      <c r="C39" s="173">
        <v>81</v>
      </c>
      <c r="D39" s="173">
        <v>3</v>
      </c>
      <c r="E39" s="172" t="s">
        <v>140</v>
      </c>
      <c r="F39" s="90" t="s">
        <v>188</v>
      </c>
    </row>
    <row r="40" spans="1:7" ht="38.25" x14ac:dyDescent="0.2">
      <c r="A40" s="172">
        <v>14</v>
      </c>
      <c r="B40" s="173">
        <v>82</v>
      </c>
      <c r="C40" s="173">
        <v>82</v>
      </c>
      <c r="D40" s="173">
        <v>1</v>
      </c>
      <c r="E40" s="172" t="s">
        <v>135</v>
      </c>
      <c r="F40" s="135" t="s">
        <v>1239</v>
      </c>
    </row>
    <row r="41" spans="1:7" x14ac:dyDescent="0.2">
      <c r="A41" s="172">
        <v>15</v>
      </c>
      <c r="B41" s="173">
        <v>83</v>
      </c>
      <c r="C41" s="173">
        <v>85</v>
      </c>
      <c r="D41" s="173">
        <v>3</v>
      </c>
      <c r="E41" s="172" t="s">
        <v>140</v>
      </c>
      <c r="F41" s="90" t="s">
        <v>200</v>
      </c>
      <c r="G41" s="93"/>
    </row>
    <row r="42" spans="1:7" x14ac:dyDescent="0.2">
      <c r="A42" s="172">
        <v>16</v>
      </c>
      <c r="B42" s="173">
        <v>86</v>
      </c>
      <c r="C42" s="173">
        <v>88</v>
      </c>
      <c r="D42" s="173">
        <v>3</v>
      </c>
      <c r="E42" s="172" t="s">
        <v>141</v>
      </c>
      <c r="F42" s="90" t="s">
        <v>201</v>
      </c>
      <c r="G42" s="93"/>
    </row>
    <row r="43" spans="1:7" x14ac:dyDescent="0.2">
      <c r="A43" s="172">
        <v>17</v>
      </c>
      <c r="B43" s="173">
        <v>89</v>
      </c>
      <c r="C43" s="173">
        <v>89</v>
      </c>
      <c r="D43" s="173">
        <v>1</v>
      </c>
      <c r="E43" s="172" t="s">
        <v>130</v>
      </c>
      <c r="F43" s="90" t="s">
        <v>202</v>
      </c>
    </row>
    <row r="44" spans="1:7" ht="38.25" x14ac:dyDescent="0.2">
      <c r="A44" s="172">
        <v>18</v>
      </c>
      <c r="B44" s="173">
        <v>90</v>
      </c>
      <c r="C44" s="173">
        <v>94</v>
      </c>
      <c r="D44" s="173">
        <v>5</v>
      </c>
      <c r="E44" s="172" t="s">
        <v>142</v>
      </c>
      <c r="F44" s="135" t="s">
        <v>1733</v>
      </c>
    </row>
    <row r="45" spans="1:7" ht="38.25" x14ac:dyDescent="0.2">
      <c r="A45" s="172">
        <v>19</v>
      </c>
      <c r="B45" s="173">
        <v>95</v>
      </c>
      <c r="C45" s="173">
        <v>95</v>
      </c>
      <c r="D45" s="173">
        <v>1</v>
      </c>
      <c r="E45" s="172" t="s">
        <v>135</v>
      </c>
      <c r="F45" s="135" t="s">
        <v>1734</v>
      </c>
    </row>
    <row r="46" spans="1:7" x14ac:dyDescent="0.2">
      <c r="A46" s="172">
        <v>20</v>
      </c>
      <c r="B46" s="173">
        <v>96</v>
      </c>
      <c r="C46" s="173">
        <v>101</v>
      </c>
      <c r="D46" s="173">
        <v>6</v>
      </c>
      <c r="E46" s="172" t="s">
        <v>136</v>
      </c>
      <c r="F46" s="135" t="s">
        <v>1238</v>
      </c>
    </row>
    <row r="47" spans="1:7" x14ac:dyDescent="0.2">
      <c r="A47" s="172">
        <v>21</v>
      </c>
      <c r="B47" s="173">
        <v>102</v>
      </c>
      <c r="C47" s="173">
        <v>105</v>
      </c>
      <c r="D47" s="173">
        <v>4</v>
      </c>
      <c r="E47" s="159" t="s">
        <v>2773</v>
      </c>
      <c r="F47" s="90" t="s">
        <v>188</v>
      </c>
    </row>
    <row r="48" spans="1:7" ht="38.25" x14ac:dyDescent="0.2">
      <c r="A48" s="172">
        <v>22</v>
      </c>
      <c r="B48" s="173">
        <v>106</v>
      </c>
      <c r="C48" s="173">
        <v>106</v>
      </c>
      <c r="D48" s="173">
        <v>1</v>
      </c>
      <c r="E48" s="159" t="s">
        <v>130</v>
      </c>
      <c r="F48" s="135" t="s">
        <v>2774</v>
      </c>
    </row>
    <row r="49" spans="1:6" ht="51" x14ac:dyDescent="0.2">
      <c r="A49" s="172">
        <v>23</v>
      </c>
      <c r="B49" s="173">
        <v>107</v>
      </c>
      <c r="C49" s="173">
        <v>108</v>
      </c>
      <c r="D49" s="173">
        <v>2</v>
      </c>
      <c r="E49" s="172" t="s">
        <v>131</v>
      </c>
      <c r="F49" s="90" t="s">
        <v>205</v>
      </c>
    </row>
    <row r="50" spans="1:6" ht="195.75" customHeight="1" x14ac:dyDescent="0.2">
      <c r="A50" s="172">
        <v>24</v>
      </c>
      <c r="B50" s="173">
        <v>109</v>
      </c>
      <c r="C50" s="173">
        <v>110</v>
      </c>
      <c r="D50" s="173">
        <v>2</v>
      </c>
      <c r="E50" s="172" t="s">
        <v>131</v>
      </c>
      <c r="F50" s="135" t="s">
        <v>2767</v>
      </c>
    </row>
    <row r="51" spans="1:6" x14ac:dyDescent="0.2">
      <c r="A51" s="172">
        <v>25</v>
      </c>
      <c r="B51" s="91">
        <v>111</v>
      </c>
      <c r="C51" s="91">
        <v>120</v>
      </c>
      <c r="D51" s="91">
        <v>10</v>
      </c>
      <c r="E51" s="90" t="s">
        <v>144</v>
      </c>
      <c r="F51" s="90" t="s">
        <v>206</v>
      </c>
    </row>
    <row r="52" spans="1:6" ht="51" x14ac:dyDescent="0.2">
      <c r="A52" s="172">
        <v>26</v>
      </c>
      <c r="B52" s="91">
        <v>121</v>
      </c>
      <c r="C52" s="91">
        <v>126</v>
      </c>
      <c r="D52" s="91">
        <v>6</v>
      </c>
      <c r="E52" s="90" t="s">
        <v>145</v>
      </c>
      <c r="F52" s="135" t="s">
        <v>1739</v>
      </c>
    </row>
    <row r="53" spans="1:6" x14ac:dyDescent="0.2">
      <c r="A53" s="172">
        <v>27</v>
      </c>
      <c r="B53" s="91">
        <v>127</v>
      </c>
      <c r="C53" s="91">
        <v>139</v>
      </c>
      <c r="D53" s="91">
        <v>13</v>
      </c>
      <c r="E53" s="90" t="s">
        <v>149</v>
      </c>
      <c r="F53" s="90" t="s">
        <v>207</v>
      </c>
    </row>
    <row r="54" spans="1:6" x14ac:dyDescent="0.2">
      <c r="A54" s="172">
        <v>28</v>
      </c>
      <c r="B54" s="91">
        <v>140</v>
      </c>
      <c r="C54" s="91">
        <v>142</v>
      </c>
      <c r="D54" s="91">
        <v>3</v>
      </c>
      <c r="E54" s="90" t="s">
        <v>141</v>
      </c>
      <c r="F54" s="90" t="s">
        <v>208</v>
      </c>
    </row>
    <row r="55" spans="1:6" x14ac:dyDescent="0.2">
      <c r="A55" s="172">
        <v>29</v>
      </c>
      <c r="B55" s="91">
        <v>143</v>
      </c>
      <c r="C55" s="91">
        <v>146</v>
      </c>
      <c r="D55" s="91">
        <v>4</v>
      </c>
      <c r="E55" s="90" t="s">
        <v>133</v>
      </c>
      <c r="F55" s="90" t="s">
        <v>184</v>
      </c>
    </row>
    <row r="56" spans="1:6" x14ac:dyDescent="0.2">
      <c r="A56" s="172">
        <v>30</v>
      </c>
      <c r="B56" s="91">
        <v>147</v>
      </c>
      <c r="C56" s="91">
        <v>147</v>
      </c>
      <c r="D56" s="91">
        <v>1</v>
      </c>
      <c r="E56" s="90" t="s">
        <v>135</v>
      </c>
      <c r="F56" s="90" t="s">
        <v>185</v>
      </c>
    </row>
    <row r="57" spans="1:6" ht="229.5" x14ac:dyDescent="0.2">
      <c r="A57" s="172">
        <v>31</v>
      </c>
      <c r="B57" s="173">
        <v>148</v>
      </c>
      <c r="C57" s="173">
        <v>149</v>
      </c>
      <c r="D57" s="173">
        <v>2</v>
      </c>
      <c r="E57" s="172" t="s">
        <v>131</v>
      </c>
      <c r="F57" s="135" t="s">
        <v>1726</v>
      </c>
    </row>
    <row r="58" spans="1:6" ht="38.25" x14ac:dyDescent="0.2">
      <c r="A58" s="172">
        <v>32</v>
      </c>
      <c r="B58" s="173">
        <v>150</v>
      </c>
      <c r="C58" s="173">
        <v>150</v>
      </c>
      <c r="D58" s="173">
        <v>1</v>
      </c>
      <c r="E58" s="172" t="s">
        <v>135</v>
      </c>
      <c r="F58" s="90" t="s">
        <v>210</v>
      </c>
    </row>
    <row r="59" spans="1:6" x14ac:dyDescent="0.2">
      <c r="A59" s="172">
        <v>33</v>
      </c>
      <c r="B59" s="173">
        <v>151</v>
      </c>
      <c r="C59" s="173">
        <v>156</v>
      </c>
      <c r="D59" s="173">
        <v>6</v>
      </c>
      <c r="E59" s="172" t="s">
        <v>136</v>
      </c>
      <c r="F59" s="90" t="s">
        <v>211</v>
      </c>
    </row>
    <row r="60" spans="1:6" ht="224.25" customHeight="1" x14ac:dyDescent="0.2">
      <c r="A60" s="172">
        <v>34</v>
      </c>
      <c r="B60" s="173">
        <v>157</v>
      </c>
      <c r="C60" s="173">
        <v>158</v>
      </c>
      <c r="D60" s="173">
        <v>2</v>
      </c>
      <c r="E60" s="172" t="s">
        <v>131</v>
      </c>
      <c r="F60" s="135" t="s">
        <v>1735</v>
      </c>
    </row>
    <row r="61" spans="1:6" x14ac:dyDescent="0.2">
      <c r="A61" s="172">
        <v>35</v>
      </c>
      <c r="B61" s="173">
        <v>159</v>
      </c>
      <c r="C61" s="173">
        <v>160</v>
      </c>
      <c r="D61" s="173">
        <v>2</v>
      </c>
      <c r="E61" s="172" t="s">
        <v>131</v>
      </c>
      <c r="F61" s="90" t="s">
        <v>212</v>
      </c>
    </row>
    <row r="62" spans="1:6" ht="25.5" x14ac:dyDescent="0.2">
      <c r="A62" s="172">
        <v>36</v>
      </c>
      <c r="B62" s="173">
        <v>161</v>
      </c>
      <c r="C62" s="173">
        <v>166</v>
      </c>
      <c r="D62" s="173">
        <v>6</v>
      </c>
      <c r="E62" s="172" t="s">
        <v>147</v>
      </c>
      <c r="F62" s="135" t="s">
        <v>1737</v>
      </c>
    </row>
    <row r="63" spans="1:6" ht="25.5" x14ac:dyDescent="0.2">
      <c r="A63" s="172">
        <v>37</v>
      </c>
      <c r="B63" s="173">
        <v>167</v>
      </c>
      <c r="C63" s="173">
        <v>172</v>
      </c>
      <c r="D63" s="173">
        <v>6</v>
      </c>
      <c r="E63" s="172" t="s">
        <v>147</v>
      </c>
      <c r="F63" s="135" t="s">
        <v>1738</v>
      </c>
    </row>
    <row r="64" spans="1:6" ht="38.25" x14ac:dyDescent="0.2">
      <c r="A64" s="172">
        <v>38</v>
      </c>
      <c r="B64" s="173">
        <v>173</v>
      </c>
      <c r="C64" s="173">
        <v>173</v>
      </c>
      <c r="D64" s="173">
        <v>1</v>
      </c>
      <c r="E64" s="172" t="s">
        <v>130</v>
      </c>
      <c r="F64" s="135" t="s">
        <v>1732</v>
      </c>
    </row>
    <row r="65" spans="1:6" ht="51" x14ac:dyDescent="0.2">
      <c r="A65" s="172">
        <v>39</v>
      </c>
      <c r="B65" s="173">
        <v>174</v>
      </c>
      <c r="C65" s="173">
        <v>179</v>
      </c>
      <c r="D65" s="173">
        <v>6</v>
      </c>
      <c r="E65" s="172" t="s">
        <v>136</v>
      </c>
      <c r="F65" s="90" t="s">
        <v>213</v>
      </c>
    </row>
    <row r="66" spans="1:6" ht="38.25" x14ac:dyDescent="0.2">
      <c r="A66" s="172">
        <v>40</v>
      </c>
      <c r="B66" s="173">
        <v>180</v>
      </c>
      <c r="C66" s="173">
        <v>192</v>
      </c>
      <c r="D66" s="173">
        <v>13</v>
      </c>
      <c r="E66" s="172" t="s">
        <v>149</v>
      </c>
      <c r="F66" s="90" t="s">
        <v>214</v>
      </c>
    </row>
    <row r="67" spans="1:6" ht="37.5" customHeight="1" x14ac:dyDescent="0.2">
      <c r="A67" s="172">
        <v>41</v>
      </c>
      <c r="B67" s="173">
        <v>193</v>
      </c>
      <c r="C67" s="173">
        <v>205</v>
      </c>
      <c r="D67" s="173">
        <v>13</v>
      </c>
      <c r="E67" s="172" t="s">
        <v>146</v>
      </c>
      <c r="F67" s="184" t="s">
        <v>1736</v>
      </c>
    </row>
    <row r="68" spans="1:6" x14ac:dyDescent="0.2">
      <c r="A68" s="172">
        <v>42</v>
      </c>
      <c r="B68" s="173">
        <v>206</v>
      </c>
      <c r="C68" s="173">
        <v>218</v>
      </c>
      <c r="D68" s="173">
        <v>13</v>
      </c>
      <c r="E68" s="172" t="s">
        <v>149</v>
      </c>
      <c r="F68" s="90" t="s">
        <v>148</v>
      </c>
    </row>
    <row r="69" spans="1:6" ht="38.25" x14ac:dyDescent="0.2">
      <c r="A69" s="172">
        <v>43</v>
      </c>
      <c r="B69" s="173">
        <v>219</v>
      </c>
      <c r="C69" s="173">
        <v>220</v>
      </c>
      <c r="D69" s="173">
        <v>2</v>
      </c>
      <c r="E69" s="172" t="s">
        <v>130</v>
      </c>
      <c r="F69" s="90" t="s">
        <v>2739</v>
      </c>
    </row>
    <row r="70" spans="1:6" x14ac:dyDescent="0.2">
      <c r="A70" s="172">
        <v>44</v>
      </c>
      <c r="B70" s="173">
        <v>221</v>
      </c>
      <c r="C70" s="173">
        <v>234</v>
      </c>
      <c r="D70" s="173">
        <v>14</v>
      </c>
      <c r="E70" s="172" t="s">
        <v>132</v>
      </c>
      <c r="F70" s="90" t="s">
        <v>2740</v>
      </c>
    </row>
    <row r="71" spans="1:6" x14ac:dyDescent="0.2">
      <c r="A71" s="172">
        <v>45</v>
      </c>
      <c r="B71" s="173">
        <v>235</v>
      </c>
      <c r="C71" s="173">
        <v>274</v>
      </c>
      <c r="D71" s="173">
        <v>40</v>
      </c>
      <c r="E71" s="172" t="s">
        <v>150</v>
      </c>
      <c r="F71" s="90" t="s">
        <v>2741</v>
      </c>
    </row>
    <row r="72" spans="1:6" x14ac:dyDescent="0.2">
      <c r="A72" s="172">
        <v>46</v>
      </c>
      <c r="B72" s="173">
        <v>275</v>
      </c>
      <c r="C72" s="173">
        <v>311</v>
      </c>
      <c r="D72" s="173">
        <v>37</v>
      </c>
      <c r="E72" s="172" t="s">
        <v>151</v>
      </c>
      <c r="F72" s="90" t="s">
        <v>2742</v>
      </c>
    </row>
    <row r="73" spans="1:6" x14ac:dyDescent="0.2">
      <c r="A73" s="172">
        <v>47</v>
      </c>
      <c r="B73" s="173">
        <v>312</v>
      </c>
      <c r="C73" s="173">
        <v>326</v>
      </c>
      <c r="D73" s="173">
        <v>15</v>
      </c>
      <c r="E73" s="172" t="s">
        <v>152</v>
      </c>
      <c r="F73" s="135" t="s">
        <v>2743</v>
      </c>
    </row>
    <row r="74" spans="1:6" x14ac:dyDescent="0.2">
      <c r="A74" s="172">
        <v>48</v>
      </c>
      <c r="B74" s="173">
        <v>327</v>
      </c>
      <c r="C74" s="173">
        <v>334</v>
      </c>
      <c r="D74" s="173">
        <v>8</v>
      </c>
      <c r="E74" s="172" t="s">
        <v>134</v>
      </c>
      <c r="F74" s="135" t="s">
        <v>2744</v>
      </c>
    </row>
    <row r="75" spans="1:6" x14ac:dyDescent="0.2">
      <c r="A75" s="172">
        <v>49</v>
      </c>
      <c r="B75" s="173">
        <v>335</v>
      </c>
      <c r="C75" s="173">
        <v>349</v>
      </c>
      <c r="D75" s="173">
        <v>15</v>
      </c>
      <c r="E75" s="172" t="s">
        <v>153</v>
      </c>
      <c r="F75" s="135" t="s">
        <v>2745</v>
      </c>
    </row>
    <row r="76" spans="1:6" x14ac:dyDescent="0.2">
      <c r="A76" s="172">
        <v>50</v>
      </c>
      <c r="B76" s="173">
        <v>350</v>
      </c>
      <c r="C76" s="173">
        <v>351</v>
      </c>
      <c r="D76" s="173">
        <v>2</v>
      </c>
      <c r="E76" s="172" t="s">
        <v>154</v>
      </c>
      <c r="F76" s="135" t="s">
        <v>2746</v>
      </c>
    </row>
    <row r="77" spans="1:6" ht="63.75" x14ac:dyDescent="0.2">
      <c r="A77" s="172">
        <v>51</v>
      </c>
      <c r="B77" s="173">
        <v>352</v>
      </c>
      <c r="C77" s="173">
        <v>391</v>
      </c>
      <c r="D77" s="173">
        <v>40</v>
      </c>
      <c r="E77" s="172" t="s">
        <v>155</v>
      </c>
      <c r="F77" s="90" t="s">
        <v>257</v>
      </c>
    </row>
    <row r="78" spans="1:6" ht="25.5" x14ac:dyDescent="0.2">
      <c r="A78" s="172">
        <v>52</v>
      </c>
      <c r="B78" s="173">
        <v>392</v>
      </c>
      <c r="C78" s="173">
        <v>393</v>
      </c>
      <c r="D78" s="173">
        <v>2</v>
      </c>
      <c r="E78" s="172" t="s">
        <v>156</v>
      </c>
      <c r="F78" s="90" t="s">
        <v>215</v>
      </c>
    </row>
    <row r="79" spans="1:6" x14ac:dyDescent="0.2">
      <c r="A79" s="172">
        <v>53</v>
      </c>
      <c r="B79" s="91">
        <v>394</v>
      </c>
      <c r="C79" s="91">
        <v>395</v>
      </c>
      <c r="D79" s="91">
        <v>1</v>
      </c>
      <c r="E79" s="90" t="s">
        <v>135</v>
      </c>
      <c r="F79" s="90" t="s">
        <v>188</v>
      </c>
    </row>
    <row r="80" spans="1:6" x14ac:dyDescent="0.2">
      <c r="A80" s="172">
        <v>54</v>
      </c>
      <c r="B80" s="91">
        <v>395</v>
      </c>
      <c r="C80" s="91">
        <v>400</v>
      </c>
      <c r="D80" s="91">
        <v>6</v>
      </c>
      <c r="E80" s="90" t="s">
        <v>136</v>
      </c>
      <c r="F80" s="90" t="s">
        <v>216</v>
      </c>
    </row>
    <row r="82" spans="1:6" x14ac:dyDescent="0.2">
      <c r="A82" s="297" t="s">
        <v>157</v>
      </c>
      <c r="B82" s="297"/>
      <c r="C82" s="297"/>
      <c r="D82" s="297"/>
      <c r="E82" s="297"/>
      <c r="F82" s="297"/>
    </row>
    <row r="83" spans="1:6" ht="25.5" x14ac:dyDescent="0.2">
      <c r="A83" s="88" t="s">
        <v>112</v>
      </c>
      <c r="B83" s="88" t="s">
        <v>113</v>
      </c>
      <c r="C83" s="88" t="s">
        <v>114</v>
      </c>
      <c r="D83" s="88" t="s">
        <v>115</v>
      </c>
      <c r="E83" s="88" t="s">
        <v>178</v>
      </c>
      <c r="F83" s="88" t="s">
        <v>180</v>
      </c>
    </row>
    <row r="84" spans="1:6" x14ac:dyDescent="0.2">
      <c r="A84" s="90">
        <v>1</v>
      </c>
      <c r="B84" s="91">
        <v>1</v>
      </c>
      <c r="C84" s="91">
        <v>1</v>
      </c>
      <c r="D84" s="91">
        <v>1</v>
      </c>
      <c r="E84" s="90" t="s">
        <v>130</v>
      </c>
      <c r="F84" s="90" t="s">
        <v>217</v>
      </c>
    </row>
    <row r="85" spans="1:6" x14ac:dyDescent="0.2">
      <c r="A85" s="90">
        <v>2</v>
      </c>
      <c r="B85" s="91">
        <v>2</v>
      </c>
      <c r="C85" s="91">
        <v>194</v>
      </c>
      <c r="D85" s="91">
        <v>193</v>
      </c>
      <c r="E85" s="90" t="s">
        <v>158</v>
      </c>
      <c r="F85" s="90" t="s">
        <v>188</v>
      </c>
    </row>
    <row r="86" spans="1:6" ht="38.25" x14ac:dyDescent="0.2">
      <c r="A86" s="172">
        <v>3</v>
      </c>
      <c r="B86" s="173">
        <v>195</v>
      </c>
      <c r="C86" s="173">
        <v>234</v>
      </c>
      <c r="D86" s="173">
        <v>40</v>
      </c>
      <c r="E86" s="172" t="s">
        <v>155</v>
      </c>
      <c r="F86" s="90" t="s">
        <v>2727</v>
      </c>
    </row>
    <row r="87" spans="1:6" ht="38.25" x14ac:dyDescent="0.2">
      <c r="A87" s="172">
        <v>4</v>
      </c>
      <c r="B87" s="173">
        <v>235</v>
      </c>
      <c r="C87" s="173">
        <v>274</v>
      </c>
      <c r="D87" s="173">
        <v>40</v>
      </c>
      <c r="E87" s="172" t="s">
        <v>155</v>
      </c>
      <c r="F87" s="90" t="s">
        <v>2727</v>
      </c>
    </row>
    <row r="88" spans="1:6" ht="38.25" x14ac:dyDescent="0.2">
      <c r="A88" s="172">
        <v>5</v>
      </c>
      <c r="B88" s="173">
        <v>275</v>
      </c>
      <c r="C88" s="173">
        <v>314</v>
      </c>
      <c r="D88" s="173">
        <v>40</v>
      </c>
      <c r="E88" s="172" t="s">
        <v>155</v>
      </c>
      <c r="F88" s="90" t="s">
        <v>2727</v>
      </c>
    </row>
    <row r="89" spans="1:6" ht="38.25" x14ac:dyDescent="0.2">
      <c r="A89" s="172">
        <v>6</v>
      </c>
      <c r="B89" s="173">
        <v>315</v>
      </c>
      <c r="C89" s="173">
        <v>354</v>
      </c>
      <c r="D89" s="173">
        <v>40</v>
      </c>
      <c r="E89" s="172" t="s">
        <v>155</v>
      </c>
      <c r="F89" s="90" t="s">
        <v>2727</v>
      </c>
    </row>
    <row r="90" spans="1:6" ht="38.25" x14ac:dyDescent="0.2">
      <c r="A90" s="172">
        <v>7</v>
      </c>
      <c r="B90" s="173">
        <v>355</v>
      </c>
      <c r="C90" s="173">
        <v>394</v>
      </c>
      <c r="D90" s="173">
        <v>40</v>
      </c>
      <c r="E90" s="172" t="s">
        <v>155</v>
      </c>
      <c r="F90" s="90" t="s">
        <v>2727</v>
      </c>
    </row>
    <row r="91" spans="1:6" x14ac:dyDescent="0.2">
      <c r="A91" s="172">
        <v>8</v>
      </c>
      <c r="B91" s="173">
        <v>395</v>
      </c>
      <c r="C91" s="173">
        <v>400</v>
      </c>
      <c r="D91" s="173">
        <v>6</v>
      </c>
      <c r="E91" s="172" t="s">
        <v>136</v>
      </c>
      <c r="F91" s="90" t="s">
        <v>216</v>
      </c>
    </row>
  </sheetData>
  <sheetProtection password="C44C" sheet="1"/>
  <mergeCells count="6">
    <mergeCell ref="H1:H2"/>
    <mergeCell ref="A82:F82"/>
    <mergeCell ref="A25:F25"/>
    <mergeCell ref="A1:F1"/>
    <mergeCell ref="A5:F5"/>
    <mergeCell ref="A3:F3"/>
  </mergeCells>
  <phoneticPr fontId="2" type="noConversion"/>
  <pageMargins left="0.23622047244094491" right="0.23622047244094491" top="0.39370078740157483" bottom="0.39370078740157483" header="0.31496062992125984" footer="0"/>
  <pageSetup paperSize="9" scale="71" fitToHeight="0" orientation="landscape" r:id="rId1"/>
  <rowBreaks count="2" manualBreakCount="2">
    <brk id="24" max="16383" man="1"/>
    <brk id="81" max="1638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07"/>
  <dimension ref="A1:H96"/>
  <sheetViews>
    <sheetView showGridLines="0" zoomScale="85" zoomScaleNormal="85" zoomScaleSheetLayoutView="100" workbookViewId="0">
      <selection activeCell="F50" sqref="F50"/>
    </sheetView>
  </sheetViews>
  <sheetFormatPr defaultRowHeight="12.75" x14ac:dyDescent="0.2"/>
  <cols>
    <col min="1" max="1" width="4.7109375" customWidth="1"/>
    <col min="2" max="4" width="10.7109375" customWidth="1"/>
    <col min="5" max="5" width="16.7109375" customWidth="1"/>
    <col min="6" max="6" width="133.7109375" customWidth="1"/>
  </cols>
  <sheetData>
    <row r="1" spans="1:8" x14ac:dyDescent="0.2">
      <c r="A1" s="299" t="s">
        <v>159</v>
      </c>
      <c r="B1" s="299"/>
      <c r="C1" s="299"/>
      <c r="D1" s="299"/>
      <c r="E1" s="299"/>
      <c r="F1" s="299"/>
      <c r="H1" s="295" t="s">
        <v>1236</v>
      </c>
    </row>
    <row r="2" spans="1:8" x14ac:dyDescent="0.2">
      <c r="A2" s="94"/>
      <c r="B2" s="94"/>
      <c r="C2" s="94"/>
      <c r="D2" s="94"/>
      <c r="E2" s="94"/>
      <c r="F2" s="94"/>
      <c r="H2" s="295"/>
    </row>
    <row r="3" spans="1:8" x14ac:dyDescent="0.2">
      <c r="A3" s="300" t="s">
        <v>193</v>
      </c>
      <c r="B3" s="300"/>
      <c r="C3" s="300"/>
      <c r="D3" s="300"/>
      <c r="E3" s="300"/>
      <c r="F3" s="300"/>
    </row>
    <row r="4" spans="1:8" x14ac:dyDescent="0.2">
      <c r="A4" s="89"/>
      <c r="B4" s="89"/>
      <c r="C4" s="89"/>
      <c r="D4" s="89"/>
      <c r="E4" s="89"/>
      <c r="F4" s="89"/>
    </row>
    <row r="5" spans="1:8" x14ac:dyDescent="0.2">
      <c r="A5" s="299" t="s">
        <v>111</v>
      </c>
      <c r="B5" s="299"/>
      <c r="C5" s="299"/>
      <c r="D5" s="299"/>
      <c r="E5" s="299"/>
      <c r="F5" s="299"/>
    </row>
    <row r="6" spans="1:8" ht="25.5" x14ac:dyDescent="0.2">
      <c r="A6" s="88" t="s">
        <v>112</v>
      </c>
      <c r="B6" s="88" t="s">
        <v>113</v>
      </c>
      <c r="C6" s="88" t="s">
        <v>114</v>
      </c>
      <c r="D6" s="88" t="s">
        <v>115</v>
      </c>
      <c r="E6" s="88" t="s">
        <v>178</v>
      </c>
      <c r="F6" s="88" t="s">
        <v>180</v>
      </c>
    </row>
    <row r="7" spans="1:8" x14ac:dyDescent="0.2">
      <c r="A7" s="160">
        <v>1</v>
      </c>
      <c r="B7" s="161">
        <v>1</v>
      </c>
      <c r="C7" s="161">
        <v>1</v>
      </c>
      <c r="D7" s="161">
        <v>1</v>
      </c>
      <c r="E7" s="160" t="s">
        <v>116</v>
      </c>
      <c r="F7" s="96" t="s">
        <v>218</v>
      </c>
    </row>
    <row r="8" spans="1:8" x14ac:dyDescent="0.2">
      <c r="A8" s="160">
        <v>2</v>
      </c>
      <c r="B8" s="161">
        <v>2</v>
      </c>
      <c r="C8" s="161">
        <v>2</v>
      </c>
      <c r="D8" s="161">
        <v>1</v>
      </c>
      <c r="E8" s="160" t="s">
        <v>116</v>
      </c>
      <c r="F8" s="96" t="s">
        <v>219</v>
      </c>
    </row>
    <row r="9" spans="1:8" x14ac:dyDescent="0.2">
      <c r="A9" s="160">
        <v>3</v>
      </c>
      <c r="B9" s="161">
        <v>3</v>
      </c>
      <c r="C9" s="161">
        <v>9</v>
      </c>
      <c r="D9" s="161">
        <v>7</v>
      </c>
      <c r="E9" s="160" t="s">
        <v>117</v>
      </c>
      <c r="F9" s="96" t="s">
        <v>220</v>
      </c>
    </row>
    <row r="10" spans="1:8" x14ac:dyDescent="0.2">
      <c r="A10" s="160">
        <v>4</v>
      </c>
      <c r="B10" s="161">
        <v>10</v>
      </c>
      <c r="C10" s="161">
        <v>11</v>
      </c>
      <c r="D10" s="161">
        <v>2</v>
      </c>
      <c r="E10" s="160" t="s">
        <v>118</v>
      </c>
      <c r="F10" s="96" t="s">
        <v>1725</v>
      </c>
    </row>
    <row r="11" spans="1:8" x14ac:dyDescent="0.2">
      <c r="A11" s="160">
        <v>5</v>
      </c>
      <c r="B11" s="161">
        <v>12</v>
      </c>
      <c r="C11" s="161">
        <v>19</v>
      </c>
      <c r="D11" s="161">
        <v>8</v>
      </c>
      <c r="E11" s="160" t="s">
        <v>119</v>
      </c>
      <c r="F11" s="96" t="s">
        <v>221</v>
      </c>
    </row>
    <row r="12" spans="1:8" x14ac:dyDescent="0.2">
      <c r="A12" s="160">
        <v>6</v>
      </c>
      <c r="B12" s="161">
        <v>20</v>
      </c>
      <c r="C12" s="161">
        <v>26</v>
      </c>
      <c r="D12" s="161">
        <v>7</v>
      </c>
      <c r="E12" s="160" t="s">
        <v>117</v>
      </c>
      <c r="F12" s="96" t="s">
        <v>188</v>
      </c>
    </row>
    <row r="13" spans="1:8" x14ac:dyDescent="0.2">
      <c r="A13" s="160">
        <v>7</v>
      </c>
      <c r="B13" s="161">
        <v>27</v>
      </c>
      <c r="C13" s="161">
        <v>30</v>
      </c>
      <c r="D13" s="161">
        <v>4</v>
      </c>
      <c r="E13" s="160" t="s">
        <v>120</v>
      </c>
      <c r="F13" s="90" t="s">
        <v>184</v>
      </c>
    </row>
    <row r="14" spans="1:8" x14ac:dyDescent="0.2">
      <c r="A14" s="160">
        <v>8</v>
      </c>
      <c r="B14" s="161">
        <v>31</v>
      </c>
      <c r="C14" s="161">
        <v>31</v>
      </c>
      <c r="D14" s="161">
        <v>1</v>
      </c>
      <c r="E14" s="160" t="s">
        <v>121</v>
      </c>
      <c r="F14" s="90" t="s">
        <v>185</v>
      </c>
    </row>
    <row r="15" spans="1:8" x14ac:dyDescent="0.2">
      <c r="A15" s="160">
        <v>9</v>
      </c>
      <c r="B15" s="161">
        <v>32</v>
      </c>
      <c r="C15" s="161">
        <v>39</v>
      </c>
      <c r="D15" s="161">
        <v>8</v>
      </c>
      <c r="E15" s="160" t="s">
        <v>122</v>
      </c>
      <c r="F15" s="90" t="s">
        <v>2719</v>
      </c>
    </row>
    <row r="16" spans="1:8" x14ac:dyDescent="0.2">
      <c r="A16" s="160">
        <v>10</v>
      </c>
      <c r="B16" s="161">
        <v>40</v>
      </c>
      <c r="C16" s="161">
        <v>40</v>
      </c>
      <c r="D16" s="161">
        <v>1</v>
      </c>
      <c r="E16" s="160" t="s">
        <v>121</v>
      </c>
      <c r="F16" s="90" t="s">
        <v>186</v>
      </c>
    </row>
    <row r="17" spans="1:6" x14ac:dyDescent="0.2">
      <c r="A17" s="160">
        <v>11</v>
      </c>
      <c r="B17" s="161">
        <v>41</v>
      </c>
      <c r="C17" s="161">
        <v>46</v>
      </c>
      <c r="D17" s="161">
        <v>6</v>
      </c>
      <c r="E17" s="160" t="s">
        <v>123</v>
      </c>
      <c r="F17" s="90" t="s">
        <v>187</v>
      </c>
    </row>
    <row r="18" spans="1:6" x14ac:dyDescent="0.2">
      <c r="A18" s="160">
        <v>12</v>
      </c>
      <c r="B18" s="161">
        <v>47</v>
      </c>
      <c r="C18" s="161">
        <v>76</v>
      </c>
      <c r="D18" s="161">
        <v>30</v>
      </c>
      <c r="E18" s="160" t="s">
        <v>124</v>
      </c>
      <c r="F18" s="90" t="s">
        <v>2729</v>
      </c>
    </row>
    <row r="19" spans="1:6" x14ac:dyDescent="0.2">
      <c r="A19" s="160">
        <v>13</v>
      </c>
      <c r="B19" s="161">
        <v>77</v>
      </c>
      <c r="C19" s="161">
        <v>94</v>
      </c>
      <c r="D19" s="161">
        <v>18</v>
      </c>
      <c r="E19" s="160" t="s">
        <v>125</v>
      </c>
      <c r="F19" s="90" t="s">
        <v>189</v>
      </c>
    </row>
    <row r="20" spans="1:6" x14ac:dyDescent="0.2">
      <c r="A20" s="160">
        <v>14</v>
      </c>
      <c r="B20" s="161">
        <v>95</v>
      </c>
      <c r="C20" s="161">
        <v>100</v>
      </c>
      <c r="D20" s="161">
        <v>6</v>
      </c>
      <c r="E20" s="160" t="s">
        <v>123</v>
      </c>
      <c r="F20" s="90" t="s">
        <v>222</v>
      </c>
    </row>
    <row r="21" spans="1:6" x14ac:dyDescent="0.2">
      <c r="A21" s="160">
        <v>15</v>
      </c>
      <c r="B21" s="161">
        <v>101</v>
      </c>
      <c r="C21" s="161">
        <v>107</v>
      </c>
      <c r="D21" s="161">
        <v>7</v>
      </c>
      <c r="E21" s="160" t="s">
        <v>126</v>
      </c>
      <c r="F21" s="188" t="s">
        <v>223</v>
      </c>
    </row>
    <row r="22" spans="1:6" x14ac:dyDescent="0.2">
      <c r="A22" s="160">
        <v>16</v>
      </c>
      <c r="B22" s="161">
        <v>108</v>
      </c>
      <c r="C22" s="161">
        <v>394</v>
      </c>
      <c r="D22" s="161">
        <v>287</v>
      </c>
      <c r="E22" s="160" t="s">
        <v>127</v>
      </c>
      <c r="F22" s="90" t="s">
        <v>188</v>
      </c>
    </row>
    <row r="23" spans="1:6" x14ac:dyDescent="0.2">
      <c r="A23" s="160">
        <v>17</v>
      </c>
      <c r="B23" s="161">
        <v>395</v>
      </c>
      <c r="C23" s="161">
        <v>400</v>
      </c>
      <c r="D23" s="161">
        <v>6</v>
      </c>
      <c r="E23" s="160" t="s">
        <v>123</v>
      </c>
      <c r="F23" s="90" t="s">
        <v>192</v>
      </c>
    </row>
    <row r="25" spans="1:6" x14ac:dyDescent="0.2">
      <c r="A25" s="299" t="s">
        <v>129</v>
      </c>
      <c r="B25" s="299"/>
      <c r="C25" s="299"/>
      <c r="D25" s="299"/>
      <c r="E25" s="299"/>
      <c r="F25" s="299"/>
    </row>
    <row r="26" spans="1:6" ht="25.5" x14ac:dyDescent="0.2">
      <c r="A26" s="88" t="s">
        <v>112</v>
      </c>
      <c r="B26" s="88" t="s">
        <v>113</v>
      </c>
      <c r="C26" s="88" t="s">
        <v>114</v>
      </c>
      <c r="D26" s="88" t="s">
        <v>115</v>
      </c>
      <c r="E26" s="88" t="s">
        <v>178</v>
      </c>
      <c r="F26" s="88" t="s">
        <v>180</v>
      </c>
    </row>
    <row r="27" spans="1:6" x14ac:dyDescent="0.2">
      <c r="A27" s="160">
        <v>1</v>
      </c>
      <c r="B27" s="161">
        <v>1</v>
      </c>
      <c r="C27" s="161">
        <v>1</v>
      </c>
      <c r="D27" s="161">
        <v>1</v>
      </c>
      <c r="E27" s="160" t="s">
        <v>130</v>
      </c>
      <c r="F27" s="96" t="s">
        <v>194</v>
      </c>
    </row>
    <row r="28" spans="1:6" ht="38.25" x14ac:dyDescent="0.2">
      <c r="A28" s="160">
        <v>2</v>
      </c>
      <c r="B28" s="161">
        <v>2</v>
      </c>
      <c r="C28" s="161">
        <v>3</v>
      </c>
      <c r="D28" s="161">
        <v>2</v>
      </c>
      <c r="E28" s="160" t="s">
        <v>131</v>
      </c>
      <c r="F28" s="90" t="s">
        <v>2721</v>
      </c>
    </row>
    <row r="29" spans="1:6" x14ac:dyDescent="0.2">
      <c r="A29" s="160">
        <v>3</v>
      </c>
      <c r="B29" s="161">
        <v>4</v>
      </c>
      <c r="C29" s="161">
        <v>17</v>
      </c>
      <c r="D29" s="161">
        <v>14</v>
      </c>
      <c r="E29" s="160" t="s">
        <v>132</v>
      </c>
      <c r="F29" s="90" t="s">
        <v>2722</v>
      </c>
    </row>
    <row r="30" spans="1:6" x14ac:dyDescent="0.2">
      <c r="A30" s="160">
        <v>4</v>
      </c>
      <c r="B30" s="161">
        <v>18</v>
      </c>
      <c r="C30" s="161">
        <v>21</v>
      </c>
      <c r="D30" s="161">
        <v>4</v>
      </c>
      <c r="E30" s="160" t="s">
        <v>133</v>
      </c>
      <c r="F30" s="90" t="s">
        <v>184</v>
      </c>
    </row>
    <row r="31" spans="1:6" x14ac:dyDescent="0.2">
      <c r="A31" s="160">
        <v>5</v>
      </c>
      <c r="B31" s="161">
        <v>22</v>
      </c>
      <c r="C31" s="161">
        <v>22</v>
      </c>
      <c r="D31" s="161">
        <v>1</v>
      </c>
      <c r="E31" s="160" t="s">
        <v>130</v>
      </c>
      <c r="F31" s="90" t="s">
        <v>185</v>
      </c>
    </row>
    <row r="32" spans="1:6" x14ac:dyDescent="0.2">
      <c r="A32" s="160">
        <v>6</v>
      </c>
      <c r="B32" s="161">
        <v>23</v>
      </c>
      <c r="C32" s="161">
        <v>30</v>
      </c>
      <c r="D32" s="161">
        <v>8</v>
      </c>
      <c r="E32" s="160" t="s">
        <v>134</v>
      </c>
      <c r="F32" s="90" t="s">
        <v>195</v>
      </c>
    </row>
    <row r="33" spans="1:6" x14ac:dyDescent="0.2">
      <c r="A33" s="160">
        <v>7</v>
      </c>
      <c r="B33" s="161">
        <v>31</v>
      </c>
      <c r="C33" s="161">
        <v>31</v>
      </c>
      <c r="D33" s="161">
        <v>1</v>
      </c>
      <c r="E33" s="160" t="s">
        <v>135</v>
      </c>
      <c r="F33" s="90" t="s">
        <v>196</v>
      </c>
    </row>
    <row r="34" spans="1:6" x14ac:dyDescent="0.2">
      <c r="A34" s="160">
        <v>8</v>
      </c>
      <c r="B34" s="161">
        <v>32</v>
      </c>
      <c r="C34" s="161">
        <v>37</v>
      </c>
      <c r="D34" s="161">
        <v>6</v>
      </c>
      <c r="E34" s="160" t="s">
        <v>136</v>
      </c>
      <c r="F34" s="90" t="s">
        <v>2723</v>
      </c>
    </row>
    <row r="35" spans="1:6" x14ac:dyDescent="0.2">
      <c r="A35" s="160">
        <v>9</v>
      </c>
      <c r="B35" s="161">
        <v>38</v>
      </c>
      <c r="C35" s="161">
        <v>62</v>
      </c>
      <c r="D35" s="161">
        <v>25</v>
      </c>
      <c r="E35" s="160" t="s">
        <v>137</v>
      </c>
      <c r="F35" s="90" t="s">
        <v>197</v>
      </c>
    </row>
    <row r="36" spans="1:6" x14ac:dyDescent="0.2">
      <c r="A36" s="160">
        <v>10</v>
      </c>
      <c r="B36" s="161">
        <v>63</v>
      </c>
      <c r="C36" s="161">
        <v>73</v>
      </c>
      <c r="D36" s="161">
        <v>11</v>
      </c>
      <c r="E36" s="160" t="s">
        <v>138</v>
      </c>
      <c r="F36" s="96" t="s">
        <v>32</v>
      </c>
    </row>
    <row r="37" spans="1:6" x14ac:dyDescent="0.2">
      <c r="A37" s="160">
        <v>11</v>
      </c>
      <c r="B37" s="161">
        <v>74</v>
      </c>
      <c r="C37" s="161">
        <v>74</v>
      </c>
      <c r="D37" s="161">
        <v>1</v>
      </c>
      <c r="E37" s="160" t="s">
        <v>135</v>
      </c>
      <c r="F37" s="96" t="s">
        <v>31</v>
      </c>
    </row>
    <row r="38" spans="1:6" x14ac:dyDescent="0.2">
      <c r="A38" s="160">
        <v>12</v>
      </c>
      <c r="B38" s="161">
        <v>75</v>
      </c>
      <c r="C38" s="161">
        <v>76</v>
      </c>
      <c r="D38" s="161">
        <v>2</v>
      </c>
      <c r="E38" s="160" t="s">
        <v>131</v>
      </c>
      <c r="F38" s="96" t="s">
        <v>139</v>
      </c>
    </row>
    <row r="39" spans="1:6" x14ac:dyDescent="0.2">
      <c r="A39" s="160">
        <v>13</v>
      </c>
      <c r="B39" s="161">
        <v>77</v>
      </c>
      <c r="C39" s="161">
        <v>80</v>
      </c>
      <c r="D39" s="161">
        <v>4</v>
      </c>
      <c r="E39" s="160" t="s">
        <v>133</v>
      </c>
      <c r="F39" s="90" t="s">
        <v>199</v>
      </c>
    </row>
    <row r="40" spans="1:6" x14ac:dyDescent="0.2">
      <c r="A40" s="160">
        <v>14</v>
      </c>
      <c r="B40" s="161">
        <v>81</v>
      </c>
      <c r="C40" s="161">
        <v>82</v>
      </c>
      <c r="D40" s="161">
        <v>2</v>
      </c>
      <c r="E40" s="160" t="s">
        <v>131</v>
      </c>
      <c r="F40" s="135" t="s">
        <v>1727</v>
      </c>
    </row>
    <row r="41" spans="1:6" ht="76.5" x14ac:dyDescent="0.2">
      <c r="A41" s="160">
        <v>15</v>
      </c>
      <c r="B41" s="161">
        <v>83</v>
      </c>
      <c r="C41" s="161">
        <v>85</v>
      </c>
      <c r="D41" s="161">
        <v>3</v>
      </c>
      <c r="E41" s="160" t="s">
        <v>140</v>
      </c>
      <c r="F41" s="159" t="s">
        <v>1729</v>
      </c>
    </row>
    <row r="42" spans="1:6" x14ac:dyDescent="0.2">
      <c r="A42" s="160">
        <v>16</v>
      </c>
      <c r="B42" s="161">
        <v>86</v>
      </c>
      <c r="C42" s="161">
        <v>88</v>
      </c>
      <c r="D42" s="161">
        <v>3</v>
      </c>
      <c r="E42" s="160" t="s">
        <v>141</v>
      </c>
      <c r="F42" s="90" t="s">
        <v>201</v>
      </c>
    </row>
    <row r="43" spans="1:6" x14ac:dyDescent="0.2">
      <c r="A43" s="160">
        <v>17</v>
      </c>
      <c r="B43" s="161">
        <v>89</v>
      </c>
      <c r="C43" s="161">
        <v>89</v>
      </c>
      <c r="D43" s="161">
        <v>1</v>
      </c>
      <c r="E43" s="160" t="s">
        <v>130</v>
      </c>
      <c r="F43" s="90" t="s">
        <v>202</v>
      </c>
    </row>
    <row r="44" spans="1:6" x14ac:dyDescent="0.2">
      <c r="A44" s="160">
        <v>18</v>
      </c>
      <c r="B44" s="161">
        <v>90</v>
      </c>
      <c r="C44" s="161">
        <v>94</v>
      </c>
      <c r="D44" s="161">
        <v>5</v>
      </c>
      <c r="E44" s="160" t="s">
        <v>142</v>
      </c>
      <c r="F44" s="90" t="s">
        <v>203</v>
      </c>
    </row>
    <row r="45" spans="1:6" x14ac:dyDescent="0.2">
      <c r="A45" s="160">
        <v>19</v>
      </c>
      <c r="B45" s="161">
        <v>95</v>
      </c>
      <c r="C45" s="161">
        <v>95</v>
      </c>
      <c r="D45" s="161">
        <v>1</v>
      </c>
      <c r="E45" s="160" t="s">
        <v>135</v>
      </c>
      <c r="F45" s="90" t="s">
        <v>204</v>
      </c>
    </row>
    <row r="46" spans="1:6" x14ac:dyDescent="0.2">
      <c r="A46" s="160">
        <v>20</v>
      </c>
      <c r="B46" s="161">
        <v>96</v>
      </c>
      <c r="C46" s="161">
        <v>100</v>
      </c>
      <c r="D46" s="161">
        <v>5</v>
      </c>
      <c r="E46" s="160" t="s">
        <v>161</v>
      </c>
      <c r="F46" s="96" t="s">
        <v>160</v>
      </c>
    </row>
    <row r="47" spans="1:6" x14ac:dyDescent="0.2">
      <c r="A47" s="160">
        <v>21</v>
      </c>
      <c r="B47" s="161">
        <v>101</v>
      </c>
      <c r="C47" s="161">
        <v>105</v>
      </c>
      <c r="D47" s="161">
        <v>5</v>
      </c>
      <c r="E47" s="160" t="s">
        <v>163</v>
      </c>
      <c r="F47" s="96" t="s">
        <v>162</v>
      </c>
    </row>
    <row r="48" spans="1:6" x14ac:dyDescent="0.2">
      <c r="A48" s="160">
        <v>22</v>
      </c>
      <c r="B48" s="161">
        <v>106</v>
      </c>
      <c r="C48" s="161">
        <v>106</v>
      </c>
      <c r="D48" s="161">
        <v>1</v>
      </c>
      <c r="E48" s="160" t="s">
        <v>135</v>
      </c>
      <c r="F48" s="90" t="s">
        <v>188</v>
      </c>
    </row>
    <row r="49" spans="1:6" ht="51" x14ac:dyDescent="0.2">
      <c r="A49" s="160">
        <v>23</v>
      </c>
      <c r="B49" s="161">
        <v>107</v>
      </c>
      <c r="C49" s="161">
        <v>108</v>
      </c>
      <c r="D49" s="161">
        <v>2</v>
      </c>
      <c r="E49" s="160" t="s">
        <v>131</v>
      </c>
      <c r="F49" s="90" t="s">
        <v>205</v>
      </c>
    </row>
    <row r="50" spans="1:6" ht="165.75" x14ac:dyDescent="0.2">
      <c r="A50" s="160">
        <v>24</v>
      </c>
      <c r="B50" s="161">
        <v>109</v>
      </c>
      <c r="C50" s="161">
        <v>110</v>
      </c>
      <c r="D50" s="161">
        <v>2</v>
      </c>
      <c r="E50" s="159" t="s">
        <v>131</v>
      </c>
      <c r="F50" s="184" t="s">
        <v>2769</v>
      </c>
    </row>
    <row r="51" spans="1:6" x14ac:dyDescent="0.2">
      <c r="A51" s="160">
        <v>25</v>
      </c>
      <c r="B51" s="161">
        <v>111</v>
      </c>
      <c r="C51" s="161">
        <v>116</v>
      </c>
      <c r="D51" s="161">
        <v>6</v>
      </c>
      <c r="E51" s="160" t="s">
        <v>136</v>
      </c>
      <c r="F51" s="96" t="s">
        <v>224</v>
      </c>
    </row>
    <row r="52" spans="1:6" x14ac:dyDescent="0.2">
      <c r="A52" s="160">
        <v>26</v>
      </c>
      <c r="B52" s="161">
        <v>117</v>
      </c>
      <c r="C52" s="161">
        <v>126</v>
      </c>
      <c r="D52" s="161">
        <v>10</v>
      </c>
      <c r="E52" s="160" t="s">
        <v>144</v>
      </c>
      <c r="F52" s="135" t="s">
        <v>206</v>
      </c>
    </row>
    <row r="53" spans="1:6" x14ac:dyDescent="0.2">
      <c r="A53" s="160">
        <v>27</v>
      </c>
      <c r="B53" s="161">
        <v>127</v>
      </c>
      <c r="C53" s="161">
        <v>146</v>
      </c>
      <c r="D53" s="161">
        <v>20</v>
      </c>
      <c r="E53" s="160" t="s">
        <v>164</v>
      </c>
      <c r="F53" s="90" t="s">
        <v>188</v>
      </c>
    </row>
    <row r="54" spans="1:6" x14ac:dyDescent="0.2">
      <c r="A54" s="160">
        <v>28</v>
      </c>
      <c r="B54" s="161">
        <v>147</v>
      </c>
      <c r="C54" s="161">
        <v>152</v>
      </c>
      <c r="D54" s="161">
        <v>6</v>
      </c>
      <c r="E54" s="160" t="s">
        <v>145</v>
      </c>
      <c r="F54" s="96" t="s">
        <v>225</v>
      </c>
    </row>
    <row r="55" spans="1:6" x14ac:dyDescent="0.2">
      <c r="A55" s="160">
        <v>29</v>
      </c>
      <c r="B55" s="161">
        <v>153</v>
      </c>
      <c r="C55" s="161">
        <v>165</v>
      </c>
      <c r="D55" s="161">
        <v>13</v>
      </c>
      <c r="E55" s="160" t="s">
        <v>227</v>
      </c>
      <c r="F55" s="96" t="s">
        <v>226</v>
      </c>
    </row>
    <row r="56" spans="1:6" x14ac:dyDescent="0.2">
      <c r="A56" s="160">
        <v>30</v>
      </c>
      <c r="B56" s="161">
        <v>166</v>
      </c>
      <c r="C56" s="161">
        <v>168</v>
      </c>
      <c r="D56" s="161">
        <v>3</v>
      </c>
      <c r="E56" s="160" t="s">
        <v>141</v>
      </c>
      <c r="F56" s="188" t="s">
        <v>1382</v>
      </c>
    </row>
    <row r="57" spans="1:6" x14ac:dyDescent="0.2">
      <c r="A57" s="160">
        <v>31</v>
      </c>
      <c r="B57" s="161">
        <v>169</v>
      </c>
      <c r="C57" s="161">
        <v>172</v>
      </c>
      <c r="D57" s="161">
        <v>4</v>
      </c>
      <c r="E57" s="160" t="s">
        <v>133</v>
      </c>
      <c r="F57" s="187" t="s">
        <v>1383</v>
      </c>
    </row>
    <row r="58" spans="1:6" x14ac:dyDescent="0.2">
      <c r="A58" s="160">
        <v>32</v>
      </c>
      <c r="B58" s="161">
        <v>173</v>
      </c>
      <c r="C58" s="161">
        <v>173</v>
      </c>
      <c r="D58" s="161">
        <v>1</v>
      </c>
      <c r="E58" s="160" t="s">
        <v>135</v>
      </c>
      <c r="F58" s="96" t="s">
        <v>228</v>
      </c>
    </row>
    <row r="59" spans="1:6" ht="222.75" customHeight="1" x14ac:dyDescent="0.2">
      <c r="A59" s="160">
        <v>33</v>
      </c>
      <c r="B59" s="161">
        <v>174</v>
      </c>
      <c r="C59" s="161">
        <v>175</v>
      </c>
      <c r="D59" s="161">
        <v>2</v>
      </c>
      <c r="E59" s="160" t="s">
        <v>131</v>
      </c>
      <c r="F59" s="183" t="s">
        <v>209</v>
      </c>
    </row>
    <row r="60" spans="1:6" x14ac:dyDescent="0.2">
      <c r="A60" s="160">
        <v>34</v>
      </c>
      <c r="B60" s="161">
        <v>176</v>
      </c>
      <c r="C60" s="161">
        <v>181</v>
      </c>
      <c r="D60" s="161">
        <v>6</v>
      </c>
      <c r="E60" s="160" t="s">
        <v>136</v>
      </c>
      <c r="F60" s="96" t="s">
        <v>1384</v>
      </c>
    </row>
    <row r="61" spans="1:6" x14ac:dyDescent="0.2">
      <c r="A61" s="160">
        <v>35</v>
      </c>
      <c r="B61" s="161">
        <v>182</v>
      </c>
      <c r="C61" s="161">
        <v>188</v>
      </c>
      <c r="D61" s="161">
        <v>7</v>
      </c>
      <c r="E61" s="160" t="s">
        <v>166</v>
      </c>
      <c r="F61" s="96" t="s">
        <v>165</v>
      </c>
    </row>
    <row r="62" spans="1:6" x14ac:dyDescent="0.2">
      <c r="A62" s="160">
        <v>36</v>
      </c>
      <c r="B62" s="161">
        <v>189</v>
      </c>
      <c r="C62" s="161">
        <v>201</v>
      </c>
      <c r="D62" s="161">
        <v>13</v>
      </c>
      <c r="E62" s="160" t="s">
        <v>149</v>
      </c>
      <c r="F62" s="96" t="s">
        <v>167</v>
      </c>
    </row>
    <row r="63" spans="1:6" x14ac:dyDescent="0.2">
      <c r="A63" s="160">
        <v>37</v>
      </c>
      <c r="B63" s="161">
        <v>202</v>
      </c>
      <c r="C63" s="161">
        <v>214</v>
      </c>
      <c r="D63" s="161">
        <v>13</v>
      </c>
      <c r="E63" s="160" t="s">
        <v>149</v>
      </c>
      <c r="F63" s="96" t="s">
        <v>168</v>
      </c>
    </row>
    <row r="64" spans="1:6" x14ac:dyDescent="0.2">
      <c r="A64" s="160">
        <v>38</v>
      </c>
      <c r="B64" s="161">
        <v>215</v>
      </c>
      <c r="C64" s="161">
        <v>227</v>
      </c>
      <c r="D64" s="161">
        <v>13</v>
      </c>
      <c r="E64" s="160" t="s">
        <v>149</v>
      </c>
      <c r="F64" s="96" t="s">
        <v>169</v>
      </c>
    </row>
    <row r="65" spans="1:6" x14ac:dyDescent="0.2">
      <c r="A65" s="160">
        <v>39</v>
      </c>
      <c r="B65" s="161">
        <v>228</v>
      </c>
      <c r="C65" s="161">
        <v>240</v>
      </c>
      <c r="D65" s="161">
        <v>13</v>
      </c>
      <c r="E65" s="160" t="s">
        <v>149</v>
      </c>
      <c r="F65" s="96" t="s">
        <v>1385</v>
      </c>
    </row>
    <row r="66" spans="1:6" x14ac:dyDescent="0.2">
      <c r="A66" s="160">
        <v>40</v>
      </c>
      <c r="B66" s="161">
        <v>241</v>
      </c>
      <c r="C66" s="161">
        <v>253</v>
      </c>
      <c r="D66" s="161">
        <v>13</v>
      </c>
      <c r="E66" s="160" t="s">
        <v>149</v>
      </c>
      <c r="F66" s="96" t="s">
        <v>1386</v>
      </c>
    </row>
    <row r="67" spans="1:6" x14ac:dyDescent="0.2">
      <c r="A67" s="160">
        <v>41</v>
      </c>
      <c r="B67" s="161">
        <v>254</v>
      </c>
      <c r="C67" s="161">
        <v>266</v>
      </c>
      <c r="D67" s="161">
        <v>13</v>
      </c>
      <c r="E67" s="160" t="s">
        <v>149</v>
      </c>
      <c r="F67" s="96" t="s">
        <v>1387</v>
      </c>
    </row>
    <row r="68" spans="1:6" x14ac:dyDescent="0.2">
      <c r="A68" s="160">
        <v>42</v>
      </c>
      <c r="B68" s="161">
        <v>267</v>
      </c>
      <c r="C68" s="161">
        <v>279</v>
      </c>
      <c r="D68" s="161">
        <v>13</v>
      </c>
      <c r="E68" s="160" t="s">
        <v>149</v>
      </c>
      <c r="F68" s="96" t="s">
        <v>170</v>
      </c>
    </row>
    <row r="69" spans="1:6" x14ac:dyDescent="0.2">
      <c r="A69" s="160">
        <v>43</v>
      </c>
      <c r="B69" s="161">
        <v>280</v>
      </c>
      <c r="C69" s="161">
        <v>292</v>
      </c>
      <c r="D69" s="161">
        <v>13</v>
      </c>
      <c r="E69" s="160" t="s">
        <v>149</v>
      </c>
      <c r="F69" s="96" t="s">
        <v>171</v>
      </c>
    </row>
    <row r="70" spans="1:6" x14ac:dyDescent="0.2">
      <c r="A70" s="160">
        <v>44</v>
      </c>
      <c r="B70" s="161">
        <v>293</v>
      </c>
      <c r="C70" s="161">
        <v>305</v>
      </c>
      <c r="D70" s="161">
        <v>13</v>
      </c>
      <c r="E70" s="160" t="s">
        <v>149</v>
      </c>
      <c r="F70" s="96" t="s">
        <v>2747</v>
      </c>
    </row>
    <row r="71" spans="1:6" x14ac:dyDescent="0.2">
      <c r="A71" s="160">
        <v>45</v>
      </c>
      <c r="B71" s="161">
        <v>306</v>
      </c>
      <c r="C71" s="161">
        <v>318</v>
      </c>
      <c r="D71" s="161">
        <v>13</v>
      </c>
      <c r="E71" s="160" t="s">
        <v>149</v>
      </c>
      <c r="F71" s="96" t="s">
        <v>172</v>
      </c>
    </row>
    <row r="72" spans="1:6" x14ac:dyDescent="0.2">
      <c r="A72" s="160">
        <v>46</v>
      </c>
      <c r="B72" s="161">
        <v>319</v>
      </c>
      <c r="C72" s="161">
        <v>319</v>
      </c>
      <c r="D72" s="161">
        <v>1</v>
      </c>
      <c r="E72" s="160" t="s">
        <v>130</v>
      </c>
      <c r="F72" s="96" t="s">
        <v>173</v>
      </c>
    </row>
    <row r="73" spans="1:6" x14ac:dyDescent="0.2">
      <c r="A73" s="160">
        <v>47</v>
      </c>
      <c r="B73" s="161">
        <v>320</v>
      </c>
      <c r="C73" s="161">
        <v>320</v>
      </c>
      <c r="D73" s="161">
        <v>1</v>
      </c>
      <c r="E73" s="160" t="s">
        <v>130</v>
      </c>
      <c r="F73" s="96" t="s">
        <v>174</v>
      </c>
    </row>
    <row r="74" spans="1:6" x14ac:dyDescent="0.2">
      <c r="A74" s="160">
        <v>48</v>
      </c>
      <c r="B74" s="161">
        <v>321</v>
      </c>
      <c r="C74" s="161">
        <v>332</v>
      </c>
      <c r="D74" s="161">
        <v>12</v>
      </c>
      <c r="E74" s="160" t="s">
        <v>176</v>
      </c>
      <c r="F74" s="96" t="s">
        <v>175</v>
      </c>
    </row>
    <row r="75" spans="1:6" x14ac:dyDescent="0.2">
      <c r="A75" s="160">
        <v>49</v>
      </c>
      <c r="B75" s="161">
        <v>333</v>
      </c>
      <c r="C75" s="161">
        <v>342</v>
      </c>
      <c r="D75" s="161">
        <v>10</v>
      </c>
      <c r="E75" s="160" t="s">
        <v>144</v>
      </c>
      <c r="F75" s="90" t="s">
        <v>188</v>
      </c>
    </row>
    <row r="76" spans="1:6" x14ac:dyDescent="0.2">
      <c r="A76" s="160">
        <v>50</v>
      </c>
      <c r="B76" s="161">
        <v>343</v>
      </c>
      <c r="C76" s="161">
        <v>357</v>
      </c>
      <c r="D76" s="161">
        <v>14</v>
      </c>
      <c r="E76" s="160" t="s">
        <v>132</v>
      </c>
      <c r="F76" s="96" t="s">
        <v>2748</v>
      </c>
    </row>
    <row r="77" spans="1:6" x14ac:dyDescent="0.2">
      <c r="A77" s="160">
        <v>51</v>
      </c>
      <c r="B77" s="161">
        <v>358</v>
      </c>
      <c r="C77" s="161">
        <v>394</v>
      </c>
      <c r="D77" s="161">
        <v>38</v>
      </c>
      <c r="E77" s="160" t="s">
        <v>177</v>
      </c>
      <c r="F77" s="90" t="s">
        <v>188</v>
      </c>
    </row>
    <row r="78" spans="1:6" x14ac:dyDescent="0.2">
      <c r="A78" s="160">
        <v>52</v>
      </c>
      <c r="B78" s="161">
        <v>395</v>
      </c>
      <c r="C78" s="161">
        <v>400</v>
      </c>
      <c r="D78" s="161">
        <v>6</v>
      </c>
      <c r="E78" s="160" t="s">
        <v>136</v>
      </c>
      <c r="F78" s="90" t="s">
        <v>216</v>
      </c>
    </row>
    <row r="80" spans="1:6" x14ac:dyDescent="0.2">
      <c r="A80" s="297" t="s">
        <v>157</v>
      </c>
      <c r="B80" s="297"/>
      <c r="C80" s="297"/>
      <c r="D80" s="297"/>
      <c r="E80" s="297"/>
      <c r="F80" s="297"/>
    </row>
    <row r="81" spans="1:6" ht="25.5" x14ac:dyDescent="0.2">
      <c r="A81" s="88" t="s">
        <v>112</v>
      </c>
      <c r="B81" s="88" t="s">
        <v>113</v>
      </c>
      <c r="C81" s="88" t="s">
        <v>114</v>
      </c>
      <c r="D81" s="88" t="s">
        <v>115</v>
      </c>
      <c r="E81" s="88" t="s">
        <v>178</v>
      </c>
      <c r="F81" s="88" t="s">
        <v>180</v>
      </c>
    </row>
    <row r="82" spans="1:6" x14ac:dyDescent="0.2">
      <c r="A82" s="185">
        <v>1</v>
      </c>
      <c r="B82" s="186">
        <v>1</v>
      </c>
      <c r="C82" s="186">
        <v>1</v>
      </c>
      <c r="D82" s="186">
        <v>1</v>
      </c>
      <c r="E82" s="185" t="s">
        <v>130</v>
      </c>
      <c r="F82" s="2" t="s">
        <v>1393</v>
      </c>
    </row>
    <row r="83" spans="1:6" x14ac:dyDescent="0.2">
      <c r="A83" s="185">
        <v>2</v>
      </c>
      <c r="B83" s="186">
        <v>2</v>
      </c>
      <c r="C83" s="186">
        <v>3</v>
      </c>
      <c r="D83" s="186">
        <v>2</v>
      </c>
      <c r="E83" s="185" t="s">
        <v>131</v>
      </c>
      <c r="F83" s="96" t="s">
        <v>1394</v>
      </c>
    </row>
    <row r="84" spans="1:6" x14ac:dyDescent="0.2">
      <c r="A84" s="185">
        <v>3</v>
      </c>
      <c r="B84" s="186">
        <v>4</v>
      </c>
      <c r="C84" s="186">
        <v>6</v>
      </c>
      <c r="D84" s="186">
        <v>3</v>
      </c>
      <c r="E84" s="185" t="s">
        <v>141</v>
      </c>
      <c r="F84" s="90" t="s">
        <v>208</v>
      </c>
    </row>
    <row r="85" spans="1:6" x14ac:dyDescent="0.2">
      <c r="A85" s="185">
        <v>4</v>
      </c>
      <c r="B85" s="186">
        <v>7</v>
      </c>
      <c r="C85" s="186">
        <v>10</v>
      </c>
      <c r="D85" s="186">
        <v>4</v>
      </c>
      <c r="E85" s="185" t="s">
        <v>133</v>
      </c>
      <c r="F85" s="2" t="s">
        <v>1395</v>
      </c>
    </row>
    <row r="86" spans="1:6" x14ac:dyDescent="0.2">
      <c r="A86" s="185">
        <v>5</v>
      </c>
      <c r="B86" s="186">
        <v>11</v>
      </c>
      <c r="C86" s="186">
        <v>35</v>
      </c>
      <c r="D86" s="186">
        <v>25</v>
      </c>
      <c r="E86" s="185" t="s">
        <v>1388</v>
      </c>
      <c r="F86" s="2" t="s">
        <v>1396</v>
      </c>
    </row>
    <row r="87" spans="1:6" x14ac:dyDescent="0.2">
      <c r="A87" s="185">
        <v>6</v>
      </c>
      <c r="B87" s="186">
        <v>36</v>
      </c>
      <c r="C87" s="186">
        <v>85</v>
      </c>
      <c r="D87" s="186">
        <v>50</v>
      </c>
      <c r="E87" s="185" t="s">
        <v>1389</v>
      </c>
      <c r="F87" s="2" t="s">
        <v>1397</v>
      </c>
    </row>
    <row r="88" spans="1:6" x14ac:dyDescent="0.2">
      <c r="A88" s="185">
        <v>7</v>
      </c>
      <c r="B88" s="186">
        <v>86</v>
      </c>
      <c r="C88" s="186">
        <v>115</v>
      </c>
      <c r="D88" s="186">
        <v>30</v>
      </c>
      <c r="E88" s="185" t="s">
        <v>1390</v>
      </c>
      <c r="F88" s="2" t="s">
        <v>1398</v>
      </c>
    </row>
    <row r="89" spans="1:6" x14ac:dyDescent="0.2">
      <c r="A89" s="185">
        <v>8</v>
      </c>
      <c r="B89" s="186">
        <v>116</v>
      </c>
      <c r="C89" s="186">
        <v>123</v>
      </c>
      <c r="D89" s="186">
        <v>8</v>
      </c>
      <c r="E89" s="185" t="s">
        <v>1391</v>
      </c>
      <c r="F89" s="2" t="s">
        <v>1399</v>
      </c>
    </row>
    <row r="90" spans="1:6" x14ac:dyDescent="0.2">
      <c r="A90" s="185">
        <v>9</v>
      </c>
      <c r="B90" s="186">
        <v>124</v>
      </c>
      <c r="C90" s="186">
        <v>153</v>
      </c>
      <c r="D90" s="186">
        <v>30</v>
      </c>
      <c r="E90" s="185" t="s">
        <v>1390</v>
      </c>
      <c r="F90" s="2" t="s">
        <v>1400</v>
      </c>
    </row>
    <row r="91" spans="1:6" x14ac:dyDescent="0.2">
      <c r="A91" s="185">
        <v>10</v>
      </c>
      <c r="B91" s="186">
        <v>154</v>
      </c>
      <c r="C91" s="186">
        <v>155</v>
      </c>
      <c r="D91" s="186">
        <v>2</v>
      </c>
      <c r="E91" s="185" t="s">
        <v>154</v>
      </c>
      <c r="F91" s="2" t="s">
        <v>1401</v>
      </c>
    </row>
    <row r="92" spans="1:6" x14ac:dyDescent="0.2">
      <c r="A92" s="185">
        <v>11</v>
      </c>
      <c r="B92" s="186">
        <v>156</v>
      </c>
      <c r="C92" s="186">
        <v>163</v>
      </c>
      <c r="D92" s="186">
        <v>8</v>
      </c>
      <c r="E92" s="185" t="s">
        <v>134</v>
      </c>
      <c r="F92" s="162" t="s">
        <v>1728</v>
      </c>
    </row>
    <row r="93" spans="1:6" x14ac:dyDescent="0.2">
      <c r="A93" s="185">
        <v>12</v>
      </c>
      <c r="B93" s="186">
        <v>164</v>
      </c>
      <c r="C93" s="186">
        <v>171</v>
      </c>
      <c r="D93" s="186">
        <v>8</v>
      </c>
      <c r="E93" s="185" t="s">
        <v>134</v>
      </c>
      <c r="F93" s="2" t="s">
        <v>1402</v>
      </c>
    </row>
    <row r="94" spans="1:6" x14ac:dyDescent="0.2">
      <c r="A94" s="185">
        <v>13</v>
      </c>
      <c r="B94" s="186">
        <v>172</v>
      </c>
      <c r="C94" s="186">
        <v>182</v>
      </c>
      <c r="D94" s="186">
        <v>11</v>
      </c>
      <c r="E94" s="185" t="s">
        <v>138</v>
      </c>
      <c r="F94" s="2" t="s">
        <v>2728</v>
      </c>
    </row>
    <row r="95" spans="1:6" x14ac:dyDescent="0.2">
      <c r="A95" s="185">
        <v>14</v>
      </c>
      <c r="B95" s="186">
        <v>183</v>
      </c>
      <c r="C95" s="186">
        <v>394</v>
      </c>
      <c r="D95" s="186">
        <v>212</v>
      </c>
      <c r="E95" s="185" t="s">
        <v>1392</v>
      </c>
      <c r="F95" s="90" t="s">
        <v>188</v>
      </c>
    </row>
    <row r="96" spans="1:6" x14ac:dyDescent="0.2">
      <c r="A96" s="185">
        <v>15</v>
      </c>
      <c r="B96" s="186">
        <v>395</v>
      </c>
      <c r="C96" s="186">
        <v>400</v>
      </c>
      <c r="D96" s="186">
        <v>6</v>
      </c>
      <c r="E96" s="185" t="s">
        <v>136</v>
      </c>
      <c r="F96" s="90" t="s">
        <v>216</v>
      </c>
    </row>
  </sheetData>
  <sheetProtection password="C44C" sheet="1" objects="1" scenarios="1"/>
  <mergeCells count="6">
    <mergeCell ref="H1:H2"/>
    <mergeCell ref="A80:F80"/>
    <mergeCell ref="A1:F1"/>
    <mergeCell ref="A5:F5"/>
    <mergeCell ref="A25:F25"/>
    <mergeCell ref="A3:F3"/>
  </mergeCells>
  <phoneticPr fontId="2" type="noConversion"/>
  <pageMargins left="0.51181102362204722" right="0.51181102362204722" top="0.78740157480314965" bottom="0.78740157480314965" header="0.31496062992125984" footer="0.31496062992125984"/>
  <pageSetup paperSize="9" scale="80" fitToHeight="6" orientation="portrait" r:id="rId1"/>
  <rowBreaks count="5" manualBreakCount="5">
    <brk id="24" max="16383" man="1"/>
    <brk id="48" max="16383" man="1"/>
    <brk id="50" max="16383" man="1"/>
    <brk id="59" max="16383" man="1"/>
    <brk id="79"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08">
    <pageSetUpPr fitToPage="1"/>
  </sheetPr>
  <dimension ref="A1:M223"/>
  <sheetViews>
    <sheetView showGridLines="0" zoomScale="85" zoomScaleNormal="85" zoomScaleSheetLayoutView="100" workbookViewId="0">
      <selection activeCell="K152" sqref="K152"/>
    </sheetView>
  </sheetViews>
  <sheetFormatPr defaultRowHeight="12.75" x14ac:dyDescent="0.2"/>
  <cols>
    <col min="1" max="1" width="7.28515625" style="102" bestFit="1" customWidth="1"/>
    <col min="2" max="2" width="5" style="105" bestFit="1" customWidth="1"/>
    <col min="3" max="3" width="5.28515625" style="105" bestFit="1" customWidth="1"/>
    <col min="4" max="4" width="8.140625" style="105" bestFit="1" customWidth="1"/>
    <col min="5" max="5" width="8.7109375" style="105" bestFit="1" customWidth="1"/>
    <col min="6" max="6" width="7.28515625" style="102" bestFit="1" customWidth="1"/>
    <col min="7" max="7" width="22.85546875" style="102" bestFit="1" customWidth="1"/>
    <col min="8" max="8" width="15.7109375" style="102" bestFit="1" customWidth="1"/>
    <col min="9" max="10" width="8.28515625" style="102" bestFit="1" customWidth="1"/>
    <col min="11" max="11" width="91.140625" style="102" bestFit="1" customWidth="1"/>
  </cols>
  <sheetData>
    <row r="1" spans="1:13" x14ac:dyDescent="0.2">
      <c r="A1" s="325" t="s">
        <v>1378</v>
      </c>
      <c r="B1" s="325"/>
      <c r="C1" s="325"/>
      <c r="D1" s="325"/>
      <c r="E1" s="325"/>
      <c r="F1" s="325"/>
      <c r="G1" s="325"/>
      <c r="H1" s="325"/>
      <c r="I1" s="325"/>
      <c r="J1" s="325"/>
      <c r="K1" s="325"/>
      <c r="M1" s="295" t="s">
        <v>1236</v>
      </c>
    </row>
    <row r="2" spans="1:13" x14ac:dyDescent="0.2">
      <c r="A2" s="101"/>
      <c r="G2" s="101"/>
      <c r="H2" s="101"/>
      <c r="I2" s="101"/>
      <c r="J2" s="101"/>
      <c r="K2" s="101"/>
      <c r="M2" s="295"/>
    </row>
    <row r="3" spans="1:13" x14ac:dyDescent="0.2">
      <c r="A3" s="308" t="s">
        <v>1461</v>
      </c>
      <c r="B3" s="308"/>
      <c r="C3" s="308"/>
      <c r="D3" s="308"/>
      <c r="E3" s="308"/>
      <c r="F3" s="308"/>
      <c r="G3" s="308"/>
      <c r="H3" s="308"/>
      <c r="I3" s="308"/>
      <c r="J3" s="308"/>
      <c r="K3" s="308"/>
    </row>
    <row r="4" spans="1:13" x14ac:dyDescent="0.2">
      <c r="A4" s="309" t="s">
        <v>112</v>
      </c>
      <c r="B4" s="310" t="s">
        <v>1403</v>
      </c>
      <c r="C4" s="310"/>
      <c r="D4" s="326" t="s">
        <v>1379</v>
      </c>
      <c r="E4" s="326" t="s">
        <v>1380</v>
      </c>
      <c r="F4" s="309" t="s">
        <v>1381</v>
      </c>
      <c r="G4" s="313" t="s">
        <v>1466</v>
      </c>
      <c r="H4" s="313"/>
      <c r="I4" s="313"/>
      <c r="J4" s="313"/>
      <c r="K4" s="314"/>
    </row>
    <row r="5" spans="1:13" x14ac:dyDescent="0.2">
      <c r="A5" s="309"/>
      <c r="B5" s="106" t="s">
        <v>1405</v>
      </c>
      <c r="C5" s="106" t="s">
        <v>1406</v>
      </c>
      <c r="D5" s="327"/>
      <c r="E5" s="327"/>
      <c r="F5" s="309"/>
      <c r="G5" s="323"/>
      <c r="H5" s="323"/>
      <c r="I5" s="323"/>
      <c r="J5" s="323"/>
      <c r="K5" s="324"/>
      <c r="M5" s="149" t="s">
        <v>1644</v>
      </c>
    </row>
    <row r="6" spans="1:13" x14ac:dyDescent="0.2">
      <c r="A6" s="97" t="s">
        <v>1409</v>
      </c>
      <c r="B6" s="107">
        <v>1</v>
      </c>
      <c r="C6" s="107">
        <v>3</v>
      </c>
      <c r="D6" s="107">
        <v>3</v>
      </c>
      <c r="E6" s="107" t="s">
        <v>1411</v>
      </c>
      <c r="F6" s="97" t="s">
        <v>1412</v>
      </c>
      <c r="G6" s="312" t="s">
        <v>1473</v>
      </c>
      <c r="H6" s="312" t="s">
        <v>38</v>
      </c>
      <c r="I6" s="312"/>
      <c r="J6" s="312"/>
      <c r="K6" s="97" t="s">
        <v>1468</v>
      </c>
    </row>
    <row r="7" spans="1:13" x14ac:dyDescent="0.2">
      <c r="A7" s="97" t="s">
        <v>1413</v>
      </c>
      <c r="B7" s="107">
        <v>4</v>
      </c>
      <c r="C7" s="107">
        <v>7</v>
      </c>
      <c r="D7" s="107">
        <v>4</v>
      </c>
      <c r="E7" s="107" t="s">
        <v>1411</v>
      </c>
      <c r="F7" s="97" t="s">
        <v>1412</v>
      </c>
      <c r="G7" s="312"/>
      <c r="H7" s="312" t="s">
        <v>1414</v>
      </c>
      <c r="I7" s="312"/>
      <c r="J7" s="312"/>
      <c r="K7" s="97" t="s">
        <v>1469</v>
      </c>
    </row>
    <row r="8" spans="1:13" x14ac:dyDescent="0.2">
      <c r="A8" s="97" t="s">
        <v>1415</v>
      </c>
      <c r="B8" s="107">
        <v>8</v>
      </c>
      <c r="C8" s="107">
        <v>8</v>
      </c>
      <c r="D8" s="107">
        <v>1</v>
      </c>
      <c r="E8" s="107" t="s">
        <v>1411</v>
      </c>
      <c r="F8" s="97" t="s">
        <v>1412</v>
      </c>
      <c r="G8" s="312"/>
      <c r="H8" s="312" t="s">
        <v>1416</v>
      </c>
      <c r="I8" s="312"/>
      <c r="J8" s="312"/>
      <c r="K8" s="97" t="s">
        <v>1470</v>
      </c>
    </row>
    <row r="9" spans="1:13" x14ac:dyDescent="0.2">
      <c r="A9" s="97" t="s">
        <v>1417</v>
      </c>
      <c r="B9" s="107">
        <v>9</v>
      </c>
      <c r="C9" s="107">
        <v>17</v>
      </c>
      <c r="D9" s="107">
        <v>9</v>
      </c>
      <c r="E9" s="107" t="s">
        <v>1411</v>
      </c>
      <c r="F9" s="97" t="s">
        <v>1419</v>
      </c>
      <c r="G9" s="312" t="s">
        <v>1418</v>
      </c>
      <c r="H9" s="312"/>
      <c r="I9" s="312"/>
      <c r="J9" s="312"/>
      <c r="K9" s="97" t="s">
        <v>1471</v>
      </c>
    </row>
    <row r="10" spans="1:13" ht="38.25" x14ac:dyDescent="0.2">
      <c r="A10" s="97" t="s">
        <v>1420</v>
      </c>
      <c r="B10" s="107">
        <v>18</v>
      </c>
      <c r="C10" s="107">
        <v>18</v>
      </c>
      <c r="D10" s="107">
        <v>1</v>
      </c>
      <c r="E10" s="107" t="s">
        <v>1411</v>
      </c>
      <c r="F10" s="97" t="s">
        <v>1412</v>
      </c>
      <c r="G10" s="319" t="s">
        <v>1474</v>
      </c>
      <c r="H10" s="312" t="s">
        <v>1421</v>
      </c>
      <c r="I10" s="312" t="s">
        <v>1422</v>
      </c>
      <c r="J10" s="312"/>
      <c r="K10" s="97" t="s">
        <v>1467</v>
      </c>
    </row>
    <row r="11" spans="1:13" x14ac:dyDescent="0.2">
      <c r="A11" s="97" t="s">
        <v>1423</v>
      </c>
      <c r="B11" s="107">
        <v>19</v>
      </c>
      <c r="C11" s="107">
        <v>32</v>
      </c>
      <c r="D11" s="107">
        <v>14</v>
      </c>
      <c r="E11" s="107" t="s">
        <v>1411</v>
      </c>
      <c r="F11" s="97" t="s">
        <v>1412</v>
      </c>
      <c r="G11" s="320"/>
      <c r="H11" s="312"/>
      <c r="I11" s="312" t="s">
        <v>1424</v>
      </c>
      <c r="J11" s="312"/>
      <c r="K11" s="97" t="s">
        <v>1425</v>
      </c>
    </row>
    <row r="12" spans="1:13" x14ac:dyDescent="0.2">
      <c r="A12" s="97" t="s">
        <v>1426</v>
      </c>
      <c r="B12" s="107">
        <v>33</v>
      </c>
      <c r="C12" s="107">
        <v>52</v>
      </c>
      <c r="D12" s="107">
        <v>20</v>
      </c>
      <c r="E12" s="107" t="s">
        <v>1411</v>
      </c>
      <c r="F12" s="97" t="s">
        <v>1419</v>
      </c>
      <c r="G12" s="320"/>
      <c r="H12" s="312" t="s">
        <v>1427</v>
      </c>
      <c r="I12" s="312"/>
      <c r="J12" s="312"/>
      <c r="K12" s="97" t="s">
        <v>1472</v>
      </c>
    </row>
    <row r="13" spans="1:13" x14ac:dyDescent="0.2">
      <c r="A13" s="97" t="s">
        <v>1428</v>
      </c>
      <c r="B13" s="107">
        <v>53</v>
      </c>
      <c r="C13" s="107">
        <v>57</v>
      </c>
      <c r="D13" s="107">
        <v>5</v>
      </c>
      <c r="E13" s="107" t="s">
        <v>1411</v>
      </c>
      <c r="F13" s="97" t="s">
        <v>1412</v>
      </c>
      <c r="G13" s="320"/>
      <c r="H13" s="312" t="s">
        <v>1475</v>
      </c>
      <c r="I13" s="312" t="s">
        <v>1429</v>
      </c>
      <c r="J13" s="97" t="s">
        <v>1430</v>
      </c>
      <c r="K13" s="97" t="s">
        <v>184</v>
      </c>
    </row>
    <row r="14" spans="1:13" x14ac:dyDescent="0.2">
      <c r="A14" s="97" t="s">
        <v>1431</v>
      </c>
      <c r="B14" s="107">
        <v>58</v>
      </c>
      <c r="C14" s="107">
        <v>58</v>
      </c>
      <c r="D14" s="107">
        <v>1</v>
      </c>
      <c r="E14" s="107" t="s">
        <v>1411</v>
      </c>
      <c r="F14" s="97" t="s">
        <v>1419</v>
      </c>
      <c r="G14" s="320"/>
      <c r="H14" s="312"/>
      <c r="I14" s="312"/>
      <c r="J14" s="97" t="s">
        <v>143</v>
      </c>
      <c r="K14" s="97" t="s">
        <v>185</v>
      </c>
    </row>
    <row r="15" spans="1:13" s="100" customFormat="1" x14ac:dyDescent="0.2">
      <c r="A15" s="99" t="s">
        <v>1432</v>
      </c>
      <c r="B15" s="108">
        <v>59</v>
      </c>
      <c r="C15" s="108">
        <v>70</v>
      </c>
      <c r="D15" s="108">
        <v>12</v>
      </c>
      <c r="E15" s="108" t="s">
        <v>1411</v>
      </c>
      <c r="F15" s="99" t="s">
        <v>1412</v>
      </c>
      <c r="G15" s="320"/>
      <c r="H15" s="312"/>
      <c r="I15" s="322" t="s">
        <v>1433</v>
      </c>
      <c r="J15" s="99" t="s">
        <v>1424</v>
      </c>
      <c r="K15" s="99" t="s">
        <v>195</v>
      </c>
    </row>
    <row r="16" spans="1:13" s="100" customFormat="1" x14ac:dyDescent="0.2">
      <c r="A16" s="99" t="s">
        <v>1434</v>
      </c>
      <c r="B16" s="108">
        <v>71</v>
      </c>
      <c r="C16" s="108">
        <v>71</v>
      </c>
      <c r="D16" s="108">
        <v>1</v>
      </c>
      <c r="E16" s="108" t="s">
        <v>1411</v>
      </c>
      <c r="F16" s="99" t="s">
        <v>1419</v>
      </c>
      <c r="G16" s="320"/>
      <c r="H16" s="312"/>
      <c r="I16" s="322"/>
      <c r="J16" s="99" t="s">
        <v>143</v>
      </c>
      <c r="K16" s="99" t="s">
        <v>196</v>
      </c>
    </row>
    <row r="17" spans="1:11" x14ac:dyDescent="0.2">
      <c r="A17" s="97" t="s">
        <v>1435</v>
      </c>
      <c r="B17" s="107">
        <v>72</v>
      </c>
      <c r="C17" s="107">
        <v>72</v>
      </c>
      <c r="D17" s="107">
        <v>1</v>
      </c>
      <c r="E17" s="107" t="s">
        <v>1411</v>
      </c>
      <c r="F17" s="97" t="s">
        <v>1419</v>
      </c>
      <c r="G17" s="320"/>
      <c r="H17" s="312"/>
      <c r="I17" s="312" t="s">
        <v>143</v>
      </c>
      <c r="J17" s="312"/>
      <c r="K17" s="97" t="s">
        <v>1527</v>
      </c>
    </row>
    <row r="18" spans="1:11" x14ac:dyDescent="0.2">
      <c r="A18" s="97" t="s">
        <v>1436</v>
      </c>
      <c r="B18" s="107">
        <v>73</v>
      </c>
      <c r="C18" s="107">
        <v>102</v>
      </c>
      <c r="D18" s="107">
        <v>30</v>
      </c>
      <c r="E18" s="107" t="s">
        <v>1411</v>
      </c>
      <c r="F18" s="97" t="s">
        <v>1419</v>
      </c>
      <c r="G18" s="321"/>
      <c r="H18" s="312" t="s">
        <v>19</v>
      </c>
      <c r="I18" s="312"/>
      <c r="J18" s="312"/>
      <c r="K18" s="97" t="s">
        <v>1437</v>
      </c>
    </row>
    <row r="19" spans="1:11" x14ac:dyDescent="0.2">
      <c r="A19" s="97" t="s">
        <v>1438</v>
      </c>
      <c r="B19" s="107">
        <v>103</v>
      </c>
      <c r="C19" s="107">
        <v>132</v>
      </c>
      <c r="D19" s="107">
        <v>30</v>
      </c>
      <c r="E19" s="107" t="s">
        <v>1411</v>
      </c>
      <c r="F19" s="97" t="s">
        <v>1419</v>
      </c>
      <c r="G19" s="312" t="s">
        <v>1439</v>
      </c>
      <c r="H19" s="312"/>
      <c r="I19" s="312"/>
      <c r="J19" s="312"/>
      <c r="K19" s="97" t="s">
        <v>1476</v>
      </c>
    </row>
    <row r="20" spans="1:11" x14ac:dyDescent="0.2">
      <c r="A20" s="97" t="s">
        <v>1440</v>
      </c>
      <c r="B20" s="107">
        <v>133</v>
      </c>
      <c r="C20" s="107">
        <v>142</v>
      </c>
      <c r="D20" s="107">
        <v>10</v>
      </c>
      <c r="E20" s="107" t="s">
        <v>1411</v>
      </c>
      <c r="F20" s="97" t="s">
        <v>1419</v>
      </c>
      <c r="G20" s="312" t="s">
        <v>1441</v>
      </c>
      <c r="H20" s="312"/>
      <c r="I20" s="312"/>
      <c r="J20" s="312"/>
      <c r="K20" s="97" t="s">
        <v>1471</v>
      </c>
    </row>
    <row r="21" spans="1:11" x14ac:dyDescent="0.2">
      <c r="A21" s="97" t="s">
        <v>1442</v>
      </c>
      <c r="B21" s="107">
        <v>143</v>
      </c>
      <c r="C21" s="107">
        <v>143</v>
      </c>
      <c r="D21" s="107">
        <v>1</v>
      </c>
      <c r="E21" s="107" t="s">
        <v>1411</v>
      </c>
      <c r="F21" s="97" t="s">
        <v>1412</v>
      </c>
      <c r="G21" s="319" t="s">
        <v>1460</v>
      </c>
      <c r="H21" s="312" t="s">
        <v>1430</v>
      </c>
      <c r="I21" s="312"/>
      <c r="J21" s="312"/>
      <c r="K21" s="97" t="s">
        <v>1477</v>
      </c>
    </row>
    <row r="22" spans="1:11" x14ac:dyDescent="0.2">
      <c r="A22" s="97" t="s">
        <v>1443</v>
      </c>
      <c r="B22" s="107">
        <v>144</v>
      </c>
      <c r="C22" s="107">
        <v>151</v>
      </c>
      <c r="D22" s="107">
        <v>8</v>
      </c>
      <c r="E22" s="107" t="s">
        <v>1411</v>
      </c>
      <c r="F22" s="97" t="s">
        <v>1412</v>
      </c>
      <c r="G22" s="320"/>
      <c r="H22" s="312" t="s">
        <v>1444</v>
      </c>
      <c r="I22" s="312"/>
      <c r="J22" s="312"/>
      <c r="K22" s="97" t="s">
        <v>1445</v>
      </c>
    </row>
    <row r="23" spans="1:11" x14ac:dyDescent="0.2">
      <c r="A23" s="97" t="s">
        <v>1446</v>
      </c>
      <c r="B23" s="107">
        <v>152</v>
      </c>
      <c r="C23" s="107">
        <v>157</v>
      </c>
      <c r="D23" s="107">
        <v>6</v>
      </c>
      <c r="E23" s="107" t="s">
        <v>1411</v>
      </c>
      <c r="F23" s="97" t="s">
        <v>1412</v>
      </c>
      <c r="G23" s="320"/>
      <c r="H23" s="312" t="s">
        <v>1447</v>
      </c>
      <c r="I23" s="312"/>
      <c r="J23" s="312"/>
      <c r="K23" s="97" t="s">
        <v>1448</v>
      </c>
    </row>
    <row r="24" spans="1:11" ht="38.25" x14ac:dyDescent="0.2">
      <c r="A24" s="97" t="s">
        <v>1449</v>
      </c>
      <c r="B24" s="107">
        <v>158</v>
      </c>
      <c r="C24" s="107">
        <v>163</v>
      </c>
      <c r="D24" s="107">
        <v>6</v>
      </c>
      <c r="E24" s="107" t="s">
        <v>1411</v>
      </c>
      <c r="F24" s="97" t="s">
        <v>1412</v>
      </c>
      <c r="G24" s="320"/>
      <c r="H24" s="312" t="s">
        <v>1450</v>
      </c>
      <c r="I24" s="312"/>
      <c r="J24" s="312"/>
      <c r="K24" s="97" t="s">
        <v>1478</v>
      </c>
    </row>
    <row r="25" spans="1:11" ht="14.25" x14ac:dyDescent="0.2">
      <c r="A25" s="97" t="s">
        <v>1451</v>
      </c>
      <c r="B25" s="107">
        <v>164</v>
      </c>
      <c r="C25" s="107">
        <v>166</v>
      </c>
      <c r="D25" s="107">
        <v>3</v>
      </c>
      <c r="E25" s="107" t="s">
        <v>1411</v>
      </c>
      <c r="F25" s="97" t="s">
        <v>1412</v>
      </c>
      <c r="G25" s="320"/>
      <c r="H25" s="312" t="s">
        <v>1452</v>
      </c>
      <c r="I25" s="312"/>
      <c r="J25" s="312"/>
      <c r="K25" s="97" t="s">
        <v>1479</v>
      </c>
    </row>
    <row r="26" spans="1:11" x14ac:dyDescent="0.2">
      <c r="A26" s="312" t="s">
        <v>1453</v>
      </c>
      <c r="B26" s="317">
        <v>167</v>
      </c>
      <c r="C26" s="317">
        <v>171</v>
      </c>
      <c r="D26" s="317">
        <v>5</v>
      </c>
      <c r="E26" s="317" t="s">
        <v>1411</v>
      </c>
      <c r="F26" s="312" t="s">
        <v>1412</v>
      </c>
      <c r="G26" s="320"/>
      <c r="H26" s="312" t="s">
        <v>1454</v>
      </c>
      <c r="I26" s="312"/>
      <c r="J26" s="312"/>
      <c r="K26" s="312" t="s">
        <v>1480</v>
      </c>
    </row>
    <row r="27" spans="1:11" x14ac:dyDescent="0.2">
      <c r="A27" s="312"/>
      <c r="B27" s="317"/>
      <c r="C27" s="317"/>
      <c r="D27" s="317"/>
      <c r="E27" s="317"/>
      <c r="F27" s="312"/>
      <c r="G27" s="321"/>
      <c r="H27" s="312"/>
      <c r="I27" s="312"/>
      <c r="J27" s="312"/>
      <c r="K27" s="312"/>
    </row>
    <row r="28" spans="1:11" x14ac:dyDescent="0.2">
      <c r="A28" s="97" t="s">
        <v>1455</v>
      </c>
      <c r="B28" s="107">
        <v>172</v>
      </c>
      <c r="C28" s="107">
        <v>191</v>
      </c>
      <c r="D28" s="107">
        <v>20</v>
      </c>
      <c r="E28" s="107" t="s">
        <v>1411</v>
      </c>
      <c r="F28" s="97" t="s">
        <v>1419</v>
      </c>
      <c r="G28" s="301" t="s">
        <v>1456</v>
      </c>
      <c r="H28" s="301"/>
      <c r="I28" s="301"/>
      <c r="J28" s="301"/>
      <c r="K28" s="97" t="s">
        <v>1481</v>
      </c>
    </row>
    <row r="29" spans="1:11" x14ac:dyDescent="0.2">
      <c r="A29" s="97" t="s">
        <v>1457</v>
      </c>
      <c r="B29" s="107">
        <v>192</v>
      </c>
      <c r="C29" s="107">
        <v>211</v>
      </c>
      <c r="D29" s="107">
        <v>20</v>
      </c>
      <c r="E29" s="107" t="s">
        <v>1411</v>
      </c>
      <c r="F29" s="97" t="s">
        <v>1419</v>
      </c>
      <c r="G29" s="301" t="s">
        <v>1458</v>
      </c>
      <c r="H29" s="301"/>
      <c r="I29" s="301"/>
      <c r="J29" s="301"/>
      <c r="K29" s="97" t="s">
        <v>1482</v>
      </c>
    </row>
    <row r="30" spans="1:11" x14ac:dyDescent="0.2">
      <c r="A30" s="97" t="s">
        <v>1459</v>
      </c>
      <c r="B30" s="107">
        <v>212</v>
      </c>
      <c r="C30" s="107">
        <v>240</v>
      </c>
      <c r="D30" s="107">
        <v>29</v>
      </c>
      <c r="E30" s="107" t="s">
        <v>1411</v>
      </c>
      <c r="F30" s="97" t="s">
        <v>1419</v>
      </c>
      <c r="G30" s="301" t="s">
        <v>1418</v>
      </c>
      <c r="H30" s="301"/>
      <c r="I30" s="301"/>
      <c r="J30" s="301"/>
      <c r="K30" s="97" t="s">
        <v>1471</v>
      </c>
    </row>
    <row r="31" spans="1:11" x14ac:dyDescent="0.2">
      <c r="A31" s="98" t="s">
        <v>1462</v>
      </c>
      <c r="B31" s="343" t="s">
        <v>1465</v>
      </c>
      <c r="C31" s="343"/>
      <c r="D31" s="343"/>
      <c r="E31" s="343"/>
      <c r="F31" s="343"/>
      <c r="G31" s="343"/>
      <c r="H31" s="343"/>
      <c r="I31" s="343"/>
      <c r="J31" s="343"/>
      <c r="K31" s="343"/>
    </row>
    <row r="32" spans="1:11" x14ac:dyDescent="0.2">
      <c r="A32" s="98" t="s">
        <v>1463</v>
      </c>
      <c r="B32" s="344" t="s">
        <v>2730</v>
      </c>
      <c r="C32" s="345"/>
      <c r="D32" s="345"/>
      <c r="E32" s="345"/>
      <c r="F32" s="345"/>
      <c r="G32" s="345"/>
      <c r="H32" s="345"/>
      <c r="I32" s="345"/>
      <c r="J32" s="345"/>
      <c r="K32" s="345"/>
    </row>
    <row r="33" spans="1:11" x14ac:dyDescent="0.2">
      <c r="A33" s="98" t="s">
        <v>1464</v>
      </c>
      <c r="B33" s="344" t="s">
        <v>2731</v>
      </c>
      <c r="C33" s="345"/>
      <c r="D33" s="345"/>
      <c r="E33" s="345"/>
      <c r="F33" s="345"/>
      <c r="G33" s="345"/>
      <c r="H33" s="345"/>
      <c r="I33" s="345"/>
      <c r="J33" s="345"/>
      <c r="K33" s="345"/>
    </row>
    <row r="35" spans="1:11" x14ac:dyDescent="0.2">
      <c r="A35" s="308" t="s">
        <v>1483</v>
      </c>
      <c r="B35" s="308"/>
      <c r="C35" s="308"/>
      <c r="D35" s="308"/>
      <c r="E35" s="308"/>
      <c r="F35" s="308"/>
      <c r="G35" s="308"/>
      <c r="H35" s="308"/>
      <c r="I35" s="308"/>
      <c r="J35" s="308"/>
      <c r="K35" s="308"/>
    </row>
    <row r="36" spans="1:11" x14ac:dyDescent="0.2">
      <c r="A36" s="309" t="s">
        <v>112</v>
      </c>
      <c r="B36" s="310" t="s">
        <v>1403</v>
      </c>
      <c r="C36" s="310"/>
      <c r="D36" s="106" t="s">
        <v>1404</v>
      </c>
      <c r="E36" s="106" t="s">
        <v>1404</v>
      </c>
      <c r="F36" s="309" t="s">
        <v>1381</v>
      </c>
      <c r="G36" s="313" t="s">
        <v>1466</v>
      </c>
      <c r="H36" s="313"/>
      <c r="I36" s="313"/>
      <c r="J36" s="313"/>
      <c r="K36" s="314"/>
    </row>
    <row r="37" spans="1:11" x14ac:dyDescent="0.2">
      <c r="A37" s="318"/>
      <c r="B37" s="109" t="s">
        <v>1405</v>
      </c>
      <c r="C37" s="109" t="s">
        <v>1406</v>
      </c>
      <c r="D37" s="109" t="s">
        <v>1407</v>
      </c>
      <c r="E37" s="109" t="s">
        <v>1408</v>
      </c>
      <c r="F37" s="309"/>
      <c r="G37" s="315"/>
      <c r="H37" s="315"/>
      <c r="I37" s="315"/>
      <c r="J37" s="315"/>
      <c r="K37" s="316"/>
    </row>
    <row r="38" spans="1:11" x14ac:dyDescent="0.2">
      <c r="A38" s="104" t="s">
        <v>1484</v>
      </c>
      <c r="B38" s="110">
        <v>1</v>
      </c>
      <c r="C38" s="110">
        <v>3</v>
      </c>
      <c r="D38" s="110">
        <v>3</v>
      </c>
      <c r="E38" s="110" t="s">
        <v>1411</v>
      </c>
      <c r="F38" s="104" t="s">
        <v>1412</v>
      </c>
      <c r="G38" s="301" t="s">
        <v>1410</v>
      </c>
      <c r="H38" s="301" t="s">
        <v>38</v>
      </c>
      <c r="I38" s="301"/>
      <c r="J38" s="301"/>
      <c r="K38" s="95" t="s">
        <v>4</v>
      </c>
    </row>
    <row r="39" spans="1:11" ht="51" x14ac:dyDescent="0.2">
      <c r="A39" s="104" t="s">
        <v>1485</v>
      </c>
      <c r="B39" s="110">
        <v>4</v>
      </c>
      <c r="C39" s="110">
        <v>7</v>
      </c>
      <c r="D39" s="110">
        <v>4</v>
      </c>
      <c r="E39" s="110" t="s">
        <v>1411</v>
      </c>
      <c r="F39" s="104" t="s">
        <v>1412</v>
      </c>
      <c r="G39" s="301"/>
      <c r="H39" s="301" t="s">
        <v>1414</v>
      </c>
      <c r="I39" s="301"/>
      <c r="J39" s="301"/>
      <c r="K39" s="95" t="s">
        <v>1520</v>
      </c>
    </row>
    <row r="40" spans="1:11" x14ac:dyDescent="0.2">
      <c r="A40" s="104" t="s">
        <v>1486</v>
      </c>
      <c r="B40" s="110">
        <v>8</v>
      </c>
      <c r="C40" s="110">
        <v>8</v>
      </c>
      <c r="D40" s="110">
        <v>1</v>
      </c>
      <c r="E40" s="110" t="s">
        <v>1411</v>
      </c>
      <c r="F40" s="104" t="s">
        <v>1412</v>
      </c>
      <c r="G40" s="301"/>
      <c r="H40" s="301" t="s">
        <v>1416</v>
      </c>
      <c r="I40" s="301"/>
      <c r="J40" s="301"/>
      <c r="K40" s="95" t="s">
        <v>1521</v>
      </c>
    </row>
    <row r="41" spans="1:11" x14ac:dyDescent="0.2">
      <c r="A41" s="104" t="s">
        <v>1487</v>
      </c>
      <c r="B41" s="110">
        <v>9</v>
      </c>
      <c r="C41" s="110">
        <v>9</v>
      </c>
      <c r="D41" s="110">
        <v>1</v>
      </c>
      <c r="E41" s="110" t="s">
        <v>1411</v>
      </c>
      <c r="F41" s="104" t="s">
        <v>1419</v>
      </c>
      <c r="G41" s="301" t="s">
        <v>1507</v>
      </c>
      <c r="H41" s="301" t="s">
        <v>1508</v>
      </c>
      <c r="I41" s="301"/>
      <c r="J41" s="301"/>
      <c r="K41" s="95" t="s">
        <v>1522</v>
      </c>
    </row>
    <row r="42" spans="1:11" x14ac:dyDescent="0.2">
      <c r="A42" s="104" t="s">
        <v>1488</v>
      </c>
      <c r="B42" s="110">
        <v>10</v>
      </c>
      <c r="C42" s="110">
        <v>11</v>
      </c>
      <c r="D42" s="110">
        <v>2</v>
      </c>
      <c r="E42" s="110" t="s">
        <v>1411</v>
      </c>
      <c r="F42" s="104" t="s">
        <v>1412</v>
      </c>
      <c r="G42" s="301"/>
      <c r="H42" s="301" t="s">
        <v>1507</v>
      </c>
      <c r="I42" s="301"/>
      <c r="J42" s="301"/>
      <c r="K42" s="95" t="s">
        <v>1523</v>
      </c>
    </row>
    <row r="43" spans="1:11" x14ac:dyDescent="0.2">
      <c r="A43" s="104" t="s">
        <v>1489</v>
      </c>
      <c r="B43" s="110">
        <v>12</v>
      </c>
      <c r="C43" s="110">
        <v>13</v>
      </c>
      <c r="D43" s="110">
        <v>2</v>
      </c>
      <c r="E43" s="110" t="s">
        <v>1411</v>
      </c>
      <c r="F43" s="104" t="s">
        <v>1419</v>
      </c>
      <c r="G43" s="301"/>
      <c r="H43" s="301" t="s">
        <v>1418</v>
      </c>
      <c r="I43" s="301"/>
      <c r="J43" s="301"/>
      <c r="K43" s="95" t="s">
        <v>1524</v>
      </c>
    </row>
    <row r="44" spans="1:11" x14ac:dyDescent="0.2">
      <c r="A44" s="104" t="s">
        <v>1490</v>
      </c>
      <c r="B44" s="110">
        <v>14</v>
      </c>
      <c r="C44" s="110">
        <v>16</v>
      </c>
      <c r="D44" s="110">
        <v>3</v>
      </c>
      <c r="E44" s="110" t="s">
        <v>1411</v>
      </c>
      <c r="F44" s="104" t="s">
        <v>1412</v>
      </c>
      <c r="G44" s="301"/>
      <c r="H44" s="301" t="s">
        <v>1510</v>
      </c>
      <c r="I44" s="301"/>
      <c r="J44" s="301"/>
      <c r="K44" s="95" t="s">
        <v>1525</v>
      </c>
    </row>
    <row r="45" spans="1:11" x14ac:dyDescent="0.2">
      <c r="A45" s="104" t="s">
        <v>1491</v>
      </c>
      <c r="B45" s="110">
        <v>17</v>
      </c>
      <c r="C45" s="110">
        <v>17</v>
      </c>
      <c r="D45" s="110">
        <v>1</v>
      </c>
      <c r="E45" s="110" t="s">
        <v>1411</v>
      </c>
      <c r="F45" s="104" t="s">
        <v>1419</v>
      </c>
      <c r="G45" s="301" t="s">
        <v>1418</v>
      </c>
      <c r="H45" s="301"/>
      <c r="I45" s="301"/>
      <c r="J45" s="301"/>
      <c r="K45" s="95" t="s">
        <v>1524</v>
      </c>
    </row>
    <row r="46" spans="1:11" ht="38.25" x14ac:dyDescent="0.2">
      <c r="A46" s="104" t="s">
        <v>1492</v>
      </c>
      <c r="B46" s="110">
        <v>18</v>
      </c>
      <c r="C46" s="110">
        <v>18</v>
      </c>
      <c r="D46" s="110">
        <v>1</v>
      </c>
      <c r="E46" s="110" t="s">
        <v>1411</v>
      </c>
      <c r="F46" s="104" t="s">
        <v>1412</v>
      </c>
      <c r="G46" s="305" t="s">
        <v>247</v>
      </c>
      <c r="H46" s="312" t="s">
        <v>1421</v>
      </c>
      <c r="I46" s="301" t="s">
        <v>1422</v>
      </c>
      <c r="J46" s="301"/>
      <c r="K46" s="97" t="s">
        <v>1467</v>
      </c>
    </row>
    <row r="47" spans="1:11" x14ac:dyDescent="0.2">
      <c r="A47" s="104" t="s">
        <v>1493</v>
      </c>
      <c r="B47" s="110">
        <v>19</v>
      </c>
      <c r="C47" s="110">
        <v>33</v>
      </c>
      <c r="D47" s="110">
        <v>15</v>
      </c>
      <c r="E47" s="110" t="s">
        <v>1411</v>
      </c>
      <c r="F47" s="104" t="s">
        <v>1412</v>
      </c>
      <c r="G47" s="306"/>
      <c r="H47" s="312"/>
      <c r="I47" s="301" t="s">
        <v>1424</v>
      </c>
      <c r="J47" s="301"/>
      <c r="K47" s="95" t="s">
        <v>1511</v>
      </c>
    </row>
    <row r="48" spans="1:11" x14ac:dyDescent="0.2">
      <c r="A48" s="104" t="s">
        <v>1494</v>
      </c>
      <c r="B48" s="110">
        <v>34</v>
      </c>
      <c r="C48" s="110">
        <v>53</v>
      </c>
      <c r="D48" s="110">
        <v>20</v>
      </c>
      <c r="E48" s="110" t="s">
        <v>1411</v>
      </c>
      <c r="F48" s="104" t="s">
        <v>1419</v>
      </c>
      <c r="G48" s="306"/>
      <c r="H48" s="301" t="s">
        <v>1427</v>
      </c>
      <c r="I48" s="301"/>
      <c r="J48" s="301"/>
      <c r="K48" s="95" t="s">
        <v>1526</v>
      </c>
    </row>
    <row r="49" spans="1:11" x14ac:dyDescent="0.2">
      <c r="A49" s="104" t="s">
        <v>1495</v>
      </c>
      <c r="B49" s="110">
        <v>54</v>
      </c>
      <c r="C49" s="110">
        <v>58</v>
      </c>
      <c r="D49" s="110">
        <v>5</v>
      </c>
      <c r="E49" s="110" t="s">
        <v>1411</v>
      </c>
      <c r="F49" s="104" t="s">
        <v>1412</v>
      </c>
      <c r="G49" s="306"/>
      <c r="H49" s="301" t="s">
        <v>1512</v>
      </c>
      <c r="I49" s="301" t="s">
        <v>1429</v>
      </c>
      <c r="J49" s="95" t="s">
        <v>1430</v>
      </c>
      <c r="K49" s="97" t="s">
        <v>184</v>
      </c>
    </row>
    <row r="50" spans="1:11" x14ac:dyDescent="0.2">
      <c r="A50" s="104" t="s">
        <v>1496</v>
      </c>
      <c r="B50" s="110">
        <v>59</v>
      </c>
      <c r="C50" s="110">
        <v>59</v>
      </c>
      <c r="D50" s="110">
        <v>1</v>
      </c>
      <c r="E50" s="110" t="s">
        <v>1411</v>
      </c>
      <c r="F50" s="104" t="s">
        <v>1419</v>
      </c>
      <c r="G50" s="306"/>
      <c r="H50" s="301"/>
      <c r="I50" s="301"/>
      <c r="J50" s="95" t="s">
        <v>143</v>
      </c>
      <c r="K50" s="97" t="s">
        <v>185</v>
      </c>
    </row>
    <row r="51" spans="1:11" x14ac:dyDescent="0.2">
      <c r="A51" s="104" t="s">
        <v>1497</v>
      </c>
      <c r="B51" s="110">
        <v>60</v>
      </c>
      <c r="C51" s="110">
        <v>71</v>
      </c>
      <c r="D51" s="110">
        <v>12</v>
      </c>
      <c r="E51" s="110" t="s">
        <v>1411</v>
      </c>
      <c r="F51" s="104" t="s">
        <v>1412</v>
      </c>
      <c r="G51" s="306"/>
      <c r="H51" s="301"/>
      <c r="I51" s="301" t="s">
        <v>1433</v>
      </c>
      <c r="J51" s="95" t="s">
        <v>1424</v>
      </c>
      <c r="K51" s="99" t="s">
        <v>195</v>
      </c>
    </row>
    <row r="52" spans="1:11" x14ac:dyDescent="0.2">
      <c r="A52" s="104" t="s">
        <v>1498</v>
      </c>
      <c r="B52" s="110">
        <v>72</v>
      </c>
      <c r="C52" s="110">
        <v>72</v>
      </c>
      <c r="D52" s="110">
        <v>1</v>
      </c>
      <c r="E52" s="110" t="s">
        <v>1411</v>
      </c>
      <c r="F52" s="104" t="s">
        <v>1419</v>
      </c>
      <c r="G52" s="306"/>
      <c r="H52" s="301"/>
      <c r="I52" s="301"/>
      <c r="J52" s="95" t="s">
        <v>143</v>
      </c>
      <c r="K52" s="99" t="s">
        <v>196</v>
      </c>
    </row>
    <row r="53" spans="1:11" x14ac:dyDescent="0.2">
      <c r="A53" s="104" t="s">
        <v>1499</v>
      </c>
      <c r="B53" s="110">
        <v>73</v>
      </c>
      <c r="C53" s="110">
        <v>73</v>
      </c>
      <c r="D53" s="110">
        <v>1</v>
      </c>
      <c r="E53" s="110" t="s">
        <v>1411</v>
      </c>
      <c r="F53" s="104" t="s">
        <v>1419</v>
      </c>
      <c r="G53" s="306"/>
      <c r="H53" s="301"/>
      <c r="I53" s="301" t="s">
        <v>143</v>
      </c>
      <c r="J53" s="301"/>
      <c r="K53" s="97" t="s">
        <v>1527</v>
      </c>
    </row>
    <row r="54" spans="1:11" x14ac:dyDescent="0.2">
      <c r="A54" s="104" t="s">
        <v>1500</v>
      </c>
      <c r="B54" s="110">
        <v>74</v>
      </c>
      <c r="C54" s="110">
        <v>103</v>
      </c>
      <c r="D54" s="110">
        <v>30</v>
      </c>
      <c r="E54" s="110" t="s">
        <v>1411</v>
      </c>
      <c r="F54" s="104" t="s">
        <v>1419</v>
      </c>
      <c r="G54" s="307"/>
      <c r="H54" s="301" t="s">
        <v>19</v>
      </c>
      <c r="I54" s="301"/>
      <c r="J54" s="301"/>
      <c r="K54" s="95" t="s">
        <v>1437</v>
      </c>
    </row>
    <row r="55" spans="1:11" ht="38.25" x14ac:dyDescent="0.2">
      <c r="A55" s="104" t="s">
        <v>1501</v>
      </c>
      <c r="B55" s="110">
        <v>104</v>
      </c>
      <c r="C55" s="110">
        <v>143</v>
      </c>
      <c r="D55" s="110">
        <v>40</v>
      </c>
      <c r="E55" s="110" t="s">
        <v>1411</v>
      </c>
      <c r="F55" s="104" t="s">
        <v>1419</v>
      </c>
      <c r="G55" s="301" t="s">
        <v>1513</v>
      </c>
      <c r="H55" s="301"/>
      <c r="I55" s="301"/>
      <c r="J55" s="301"/>
      <c r="K55" s="95" t="s">
        <v>254</v>
      </c>
    </row>
    <row r="56" spans="1:11" ht="38.25" x14ac:dyDescent="0.2">
      <c r="A56" s="104" t="s">
        <v>1502</v>
      </c>
      <c r="B56" s="110">
        <v>144</v>
      </c>
      <c r="C56" s="110">
        <v>183</v>
      </c>
      <c r="D56" s="110">
        <v>40</v>
      </c>
      <c r="E56" s="110" t="s">
        <v>1411</v>
      </c>
      <c r="F56" s="104" t="s">
        <v>1419</v>
      </c>
      <c r="G56" s="301" t="s">
        <v>1514</v>
      </c>
      <c r="H56" s="301"/>
      <c r="I56" s="301"/>
      <c r="J56" s="301"/>
      <c r="K56" s="95" t="s">
        <v>253</v>
      </c>
    </row>
    <row r="57" spans="1:11" ht="38.25" x14ac:dyDescent="0.2">
      <c r="A57" s="104" t="s">
        <v>1503</v>
      </c>
      <c r="B57" s="110">
        <v>184</v>
      </c>
      <c r="C57" s="110">
        <v>191</v>
      </c>
      <c r="D57" s="110">
        <v>8</v>
      </c>
      <c r="E57" s="110" t="s">
        <v>1411</v>
      </c>
      <c r="F57" s="104" t="s">
        <v>1412</v>
      </c>
      <c r="G57" s="301" t="s">
        <v>1515</v>
      </c>
      <c r="H57" s="301"/>
      <c r="I57" s="301" t="s">
        <v>1516</v>
      </c>
      <c r="J57" s="301"/>
      <c r="K57" s="95" t="s">
        <v>2732</v>
      </c>
    </row>
    <row r="58" spans="1:11" x14ac:dyDescent="0.2">
      <c r="A58" s="104" t="s">
        <v>1504</v>
      </c>
      <c r="B58" s="110">
        <v>192</v>
      </c>
      <c r="C58" s="110">
        <v>199</v>
      </c>
      <c r="D58" s="110">
        <v>8</v>
      </c>
      <c r="E58" s="110" t="s">
        <v>1411</v>
      </c>
      <c r="F58" s="104" t="s">
        <v>1412</v>
      </c>
      <c r="G58" s="301"/>
      <c r="H58" s="301"/>
      <c r="I58" s="301" t="s">
        <v>1517</v>
      </c>
      <c r="J58" s="301"/>
      <c r="K58" s="95" t="s">
        <v>1518</v>
      </c>
    </row>
    <row r="59" spans="1:11" x14ac:dyDescent="0.2">
      <c r="A59" s="104" t="s">
        <v>1505</v>
      </c>
      <c r="B59" s="110">
        <v>200</v>
      </c>
      <c r="C59" s="110">
        <v>207</v>
      </c>
      <c r="D59" s="110">
        <v>8</v>
      </c>
      <c r="E59" s="110" t="s">
        <v>1411</v>
      </c>
      <c r="F59" s="104" t="s">
        <v>1412</v>
      </c>
      <c r="G59" s="301" t="s">
        <v>1519</v>
      </c>
      <c r="H59" s="301"/>
      <c r="I59" s="301"/>
      <c r="J59" s="301"/>
      <c r="K59" s="95" t="s">
        <v>1528</v>
      </c>
    </row>
    <row r="60" spans="1:11" x14ac:dyDescent="0.2">
      <c r="A60" s="104" t="s">
        <v>1506</v>
      </c>
      <c r="B60" s="110">
        <v>208</v>
      </c>
      <c r="C60" s="110">
        <v>240</v>
      </c>
      <c r="D60" s="110">
        <v>33</v>
      </c>
      <c r="E60" s="110" t="s">
        <v>1411</v>
      </c>
      <c r="F60" s="104" t="s">
        <v>1419</v>
      </c>
      <c r="G60" s="301" t="s">
        <v>1418</v>
      </c>
      <c r="H60" s="301"/>
      <c r="I60" s="301"/>
      <c r="J60" s="301"/>
      <c r="K60" s="95" t="s">
        <v>1524</v>
      </c>
    </row>
    <row r="62" spans="1:11" x14ac:dyDescent="0.2">
      <c r="A62" s="308" t="s">
        <v>248</v>
      </c>
      <c r="B62" s="308"/>
      <c r="C62" s="308"/>
      <c r="D62" s="308"/>
      <c r="E62" s="308"/>
      <c r="F62" s="308"/>
      <c r="G62" s="308"/>
      <c r="H62" s="308"/>
      <c r="I62" s="308"/>
      <c r="J62" s="308"/>
      <c r="K62" s="308"/>
    </row>
    <row r="63" spans="1:11" x14ac:dyDescent="0.2">
      <c r="A63" s="309" t="s">
        <v>112</v>
      </c>
      <c r="B63" s="310" t="s">
        <v>1403</v>
      </c>
      <c r="C63" s="310"/>
      <c r="D63" s="106" t="s">
        <v>1404</v>
      </c>
      <c r="E63" s="106" t="s">
        <v>1404</v>
      </c>
      <c r="F63" s="309" t="s">
        <v>1381</v>
      </c>
      <c r="G63" s="311" t="s">
        <v>1466</v>
      </c>
      <c r="H63" s="311"/>
      <c r="I63" s="311"/>
      <c r="J63" s="311"/>
      <c r="K63" s="311"/>
    </row>
    <row r="64" spans="1:11" x14ac:dyDescent="0.2">
      <c r="A64" s="309"/>
      <c r="B64" s="106" t="s">
        <v>1405</v>
      </c>
      <c r="C64" s="106" t="s">
        <v>1406</v>
      </c>
      <c r="D64" s="106" t="s">
        <v>1407</v>
      </c>
      <c r="E64" s="106" t="s">
        <v>1408</v>
      </c>
      <c r="F64" s="309"/>
      <c r="G64" s="311"/>
      <c r="H64" s="311"/>
      <c r="I64" s="311"/>
      <c r="J64" s="311"/>
      <c r="K64" s="311"/>
    </row>
    <row r="65" spans="1:11" x14ac:dyDescent="0.2">
      <c r="A65" s="104" t="s">
        <v>1529</v>
      </c>
      <c r="B65" s="110">
        <v>1</v>
      </c>
      <c r="C65" s="110">
        <v>3</v>
      </c>
      <c r="D65" s="110">
        <v>3</v>
      </c>
      <c r="E65" s="110" t="s">
        <v>1411</v>
      </c>
      <c r="F65" s="104" t="s">
        <v>1412</v>
      </c>
      <c r="G65" s="301" t="s">
        <v>1473</v>
      </c>
      <c r="H65" s="301" t="s">
        <v>38</v>
      </c>
      <c r="I65" s="301"/>
      <c r="J65" s="301"/>
      <c r="K65" s="95" t="s">
        <v>4</v>
      </c>
    </row>
    <row r="66" spans="1:11" ht="51" x14ac:dyDescent="0.2">
      <c r="A66" s="104" t="s">
        <v>1530</v>
      </c>
      <c r="B66" s="110">
        <v>4</v>
      </c>
      <c r="C66" s="110">
        <v>7</v>
      </c>
      <c r="D66" s="110">
        <v>4</v>
      </c>
      <c r="E66" s="110" t="s">
        <v>1411</v>
      </c>
      <c r="F66" s="104" t="s">
        <v>1412</v>
      </c>
      <c r="G66" s="301"/>
      <c r="H66" s="301" t="s">
        <v>1414</v>
      </c>
      <c r="I66" s="301"/>
      <c r="J66" s="301"/>
      <c r="K66" s="95" t="s">
        <v>1520</v>
      </c>
    </row>
    <row r="67" spans="1:11" x14ac:dyDescent="0.2">
      <c r="A67" s="104" t="s">
        <v>1531</v>
      </c>
      <c r="B67" s="110">
        <v>8</v>
      </c>
      <c r="C67" s="110">
        <v>8</v>
      </c>
      <c r="D67" s="110">
        <v>1</v>
      </c>
      <c r="E67" s="110" t="s">
        <v>1411</v>
      </c>
      <c r="F67" s="104" t="s">
        <v>1412</v>
      </c>
      <c r="G67" s="301"/>
      <c r="H67" s="301" t="s">
        <v>1416</v>
      </c>
      <c r="I67" s="301"/>
      <c r="J67" s="301"/>
      <c r="K67" s="95" t="s">
        <v>230</v>
      </c>
    </row>
    <row r="68" spans="1:11" ht="51" x14ac:dyDescent="0.2">
      <c r="A68" s="104" t="s">
        <v>1532</v>
      </c>
      <c r="B68" s="110">
        <v>9</v>
      </c>
      <c r="C68" s="110">
        <v>13</v>
      </c>
      <c r="D68" s="110">
        <v>5</v>
      </c>
      <c r="E68" s="110" t="s">
        <v>1411</v>
      </c>
      <c r="F68" s="104" t="s">
        <v>1412</v>
      </c>
      <c r="G68" s="301" t="s">
        <v>1507</v>
      </c>
      <c r="H68" s="301" t="s">
        <v>1571</v>
      </c>
      <c r="I68" s="301"/>
      <c r="J68" s="301"/>
      <c r="K68" s="95" t="s">
        <v>231</v>
      </c>
    </row>
    <row r="69" spans="1:11" x14ac:dyDescent="0.2">
      <c r="A69" s="104" t="s">
        <v>1533</v>
      </c>
      <c r="B69" s="110">
        <v>14</v>
      </c>
      <c r="C69" s="110">
        <v>14</v>
      </c>
      <c r="D69" s="110">
        <v>1</v>
      </c>
      <c r="E69" s="110" t="s">
        <v>1411</v>
      </c>
      <c r="F69" s="104" t="s">
        <v>1419</v>
      </c>
      <c r="G69" s="301"/>
      <c r="H69" s="301" t="s">
        <v>1572</v>
      </c>
      <c r="I69" s="301"/>
      <c r="J69" s="301"/>
      <c r="K69" s="95" t="s">
        <v>232</v>
      </c>
    </row>
    <row r="70" spans="1:11" x14ac:dyDescent="0.2">
      <c r="A70" s="104" t="s">
        <v>1534</v>
      </c>
      <c r="B70" s="110">
        <v>15</v>
      </c>
      <c r="C70" s="110">
        <v>15</v>
      </c>
      <c r="D70" s="110">
        <v>1</v>
      </c>
      <c r="E70" s="110" t="s">
        <v>1411</v>
      </c>
      <c r="F70" s="104" t="s">
        <v>1419</v>
      </c>
      <c r="G70" s="301"/>
      <c r="H70" s="301" t="s">
        <v>1418</v>
      </c>
      <c r="I70" s="301"/>
      <c r="J70" s="301"/>
      <c r="K70" s="95" t="s">
        <v>1524</v>
      </c>
    </row>
    <row r="71" spans="1:11" ht="63.75" x14ac:dyDescent="0.2">
      <c r="A71" s="104" t="s">
        <v>1535</v>
      </c>
      <c r="B71" s="110">
        <v>16</v>
      </c>
      <c r="C71" s="110">
        <v>17</v>
      </c>
      <c r="D71" s="110">
        <v>2</v>
      </c>
      <c r="E71" s="110" t="s">
        <v>1411</v>
      </c>
      <c r="F71" s="104" t="s">
        <v>1412</v>
      </c>
      <c r="G71" s="301"/>
      <c r="H71" s="301" t="s">
        <v>1573</v>
      </c>
      <c r="I71" s="301"/>
      <c r="J71" s="301"/>
      <c r="K71" s="147" t="s">
        <v>2711</v>
      </c>
    </row>
    <row r="72" spans="1:11" x14ac:dyDescent="0.2">
      <c r="A72" s="104" t="s">
        <v>1536</v>
      </c>
      <c r="B72" s="110">
        <v>18</v>
      </c>
      <c r="C72" s="110">
        <v>22</v>
      </c>
      <c r="D72" s="110">
        <v>5</v>
      </c>
      <c r="E72" s="110" t="s">
        <v>1411</v>
      </c>
      <c r="F72" s="104" t="s">
        <v>1412</v>
      </c>
      <c r="G72" s="301" t="s">
        <v>1512</v>
      </c>
      <c r="H72" s="301" t="s">
        <v>1429</v>
      </c>
      <c r="I72" s="301" t="s">
        <v>1430</v>
      </c>
      <c r="J72" s="301"/>
      <c r="K72" s="97" t="s">
        <v>184</v>
      </c>
    </row>
    <row r="73" spans="1:11" x14ac:dyDescent="0.2">
      <c r="A73" s="104" t="s">
        <v>1537</v>
      </c>
      <c r="B73" s="110">
        <v>23</v>
      </c>
      <c r="C73" s="110">
        <v>23</v>
      </c>
      <c r="D73" s="110">
        <v>1</v>
      </c>
      <c r="E73" s="110" t="s">
        <v>1411</v>
      </c>
      <c r="F73" s="104" t="s">
        <v>1419</v>
      </c>
      <c r="G73" s="301"/>
      <c r="H73" s="301"/>
      <c r="I73" s="301" t="s">
        <v>143</v>
      </c>
      <c r="J73" s="301"/>
      <c r="K73" s="97" t="s">
        <v>185</v>
      </c>
    </row>
    <row r="74" spans="1:11" x14ac:dyDescent="0.2">
      <c r="A74" s="104" t="s">
        <v>1538</v>
      </c>
      <c r="B74" s="110">
        <v>24</v>
      </c>
      <c r="C74" s="110">
        <v>35</v>
      </c>
      <c r="D74" s="110">
        <v>12</v>
      </c>
      <c r="E74" s="110" t="s">
        <v>1411</v>
      </c>
      <c r="F74" s="104" t="s">
        <v>1412</v>
      </c>
      <c r="G74" s="301"/>
      <c r="H74" s="301" t="s">
        <v>1433</v>
      </c>
      <c r="I74" s="301" t="s">
        <v>1424</v>
      </c>
      <c r="J74" s="301"/>
      <c r="K74" s="99" t="s">
        <v>195</v>
      </c>
    </row>
    <row r="75" spans="1:11" x14ac:dyDescent="0.2">
      <c r="A75" s="104" t="s">
        <v>1539</v>
      </c>
      <c r="B75" s="110">
        <v>36</v>
      </c>
      <c r="C75" s="110">
        <v>36</v>
      </c>
      <c r="D75" s="110">
        <v>1</v>
      </c>
      <c r="E75" s="110" t="s">
        <v>1411</v>
      </c>
      <c r="F75" s="104" t="s">
        <v>1419</v>
      </c>
      <c r="G75" s="301"/>
      <c r="H75" s="301"/>
      <c r="I75" s="301" t="s">
        <v>143</v>
      </c>
      <c r="J75" s="301"/>
      <c r="K75" s="99" t="s">
        <v>196</v>
      </c>
    </row>
    <row r="76" spans="1:11" x14ac:dyDescent="0.2">
      <c r="A76" s="104" t="s">
        <v>1540</v>
      </c>
      <c r="B76" s="110">
        <v>37</v>
      </c>
      <c r="C76" s="110">
        <v>37</v>
      </c>
      <c r="D76" s="110">
        <v>1</v>
      </c>
      <c r="E76" s="110" t="s">
        <v>1411</v>
      </c>
      <c r="F76" s="104" t="s">
        <v>1419</v>
      </c>
      <c r="G76" s="301"/>
      <c r="H76" s="301" t="s">
        <v>143</v>
      </c>
      <c r="I76" s="301"/>
      <c r="J76" s="301"/>
      <c r="K76" s="95" t="s">
        <v>1527</v>
      </c>
    </row>
    <row r="77" spans="1:11" ht="267.75" x14ac:dyDescent="0.2">
      <c r="A77" s="104" t="s">
        <v>1541</v>
      </c>
      <c r="B77" s="110">
        <v>38</v>
      </c>
      <c r="C77" s="110">
        <v>57</v>
      </c>
      <c r="D77" s="110">
        <v>20</v>
      </c>
      <c r="E77" s="110" t="s">
        <v>1411</v>
      </c>
      <c r="F77" s="104" t="s">
        <v>1419</v>
      </c>
      <c r="G77" s="302" t="s">
        <v>32</v>
      </c>
      <c r="H77" s="303"/>
      <c r="I77" s="303"/>
      <c r="J77" s="304"/>
      <c r="K77" s="147" t="s">
        <v>2733</v>
      </c>
    </row>
    <row r="78" spans="1:11" x14ac:dyDescent="0.2">
      <c r="A78" s="104" t="s">
        <v>1542</v>
      </c>
      <c r="B78" s="110">
        <v>58</v>
      </c>
      <c r="C78" s="110">
        <v>58</v>
      </c>
      <c r="D78" s="110">
        <v>1</v>
      </c>
      <c r="E78" s="110" t="s">
        <v>1411</v>
      </c>
      <c r="F78" s="104" t="s">
        <v>1412</v>
      </c>
      <c r="G78" s="305" t="s">
        <v>229</v>
      </c>
      <c r="H78" s="302" t="s">
        <v>42</v>
      </c>
      <c r="I78" s="303"/>
      <c r="J78" s="304"/>
      <c r="K78" s="95" t="s">
        <v>234</v>
      </c>
    </row>
    <row r="79" spans="1:11" x14ac:dyDescent="0.2">
      <c r="A79" s="104" t="s">
        <v>1543</v>
      </c>
      <c r="B79" s="110">
        <v>59</v>
      </c>
      <c r="C79" s="110">
        <v>59</v>
      </c>
      <c r="D79" s="110">
        <v>1</v>
      </c>
      <c r="E79" s="110" t="s">
        <v>1411</v>
      </c>
      <c r="F79" s="104" t="s">
        <v>1412</v>
      </c>
      <c r="G79" s="306"/>
      <c r="H79" s="302" t="s">
        <v>1574</v>
      </c>
      <c r="I79" s="303"/>
      <c r="J79" s="304"/>
      <c r="K79" s="95" t="s">
        <v>235</v>
      </c>
    </row>
    <row r="80" spans="1:11" x14ac:dyDescent="0.2">
      <c r="A80" s="104" t="s">
        <v>1544</v>
      </c>
      <c r="B80" s="110">
        <v>60</v>
      </c>
      <c r="C80" s="110">
        <v>60</v>
      </c>
      <c r="D80" s="110">
        <v>1</v>
      </c>
      <c r="E80" s="110" t="s">
        <v>1411</v>
      </c>
      <c r="F80" s="104" t="s">
        <v>1419</v>
      </c>
      <c r="G80" s="306"/>
      <c r="H80" s="302" t="s">
        <v>1575</v>
      </c>
      <c r="I80" s="303"/>
      <c r="J80" s="304"/>
      <c r="K80" s="95" t="s">
        <v>236</v>
      </c>
    </row>
    <row r="81" spans="1:11" ht="38.25" x14ac:dyDescent="0.2">
      <c r="A81" s="104" t="s">
        <v>1545</v>
      </c>
      <c r="B81" s="110">
        <v>61</v>
      </c>
      <c r="C81" s="110">
        <v>61</v>
      </c>
      <c r="D81" s="110">
        <v>1</v>
      </c>
      <c r="E81" s="110" t="s">
        <v>1411</v>
      </c>
      <c r="F81" s="104" t="s">
        <v>1412</v>
      </c>
      <c r="G81" s="306"/>
      <c r="H81" s="302" t="s">
        <v>255</v>
      </c>
      <c r="I81" s="303"/>
      <c r="J81" s="304"/>
      <c r="K81" s="147" t="s">
        <v>2734</v>
      </c>
    </row>
    <row r="82" spans="1:11" ht="38.25" x14ac:dyDescent="0.2">
      <c r="A82" s="104" t="s">
        <v>1546</v>
      </c>
      <c r="B82" s="110">
        <v>62</v>
      </c>
      <c r="C82" s="110">
        <v>62</v>
      </c>
      <c r="D82" s="110">
        <v>1</v>
      </c>
      <c r="E82" s="110" t="s">
        <v>1411</v>
      </c>
      <c r="F82" s="104" t="s">
        <v>1419</v>
      </c>
      <c r="G82" s="307"/>
      <c r="H82" s="302" t="s">
        <v>256</v>
      </c>
      <c r="I82" s="303"/>
      <c r="J82" s="304"/>
      <c r="K82" s="147" t="s">
        <v>2735</v>
      </c>
    </row>
    <row r="83" spans="1:11" ht="63.75" x14ac:dyDescent="0.2">
      <c r="A83" s="104" t="s">
        <v>1547</v>
      </c>
      <c r="B83" s="110">
        <v>63</v>
      </c>
      <c r="C83" s="110">
        <v>77</v>
      </c>
      <c r="D83" s="110">
        <v>15</v>
      </c>
      <c r="E83" s="110" t="s">
        <v>1411</v>
      </c>
      <c r="F83" s="104" t="s">
        <v>1419</v>
      </c>
      <c r="G83" s="301" t="s">
        <v>1576</v>
      </c>
      <c r="H83" s="301"/>
      <c r="I83" s="301"/>
      <c r="J83" s="301"/>
      <c r="K83" s="95" t="s">
        <v>237</v>
      </c>
    </row>
    <row r="84" spans="1:11" x14ac:dyDescent="0.2">
      <c r="A84" s="104" t="s">
        <v>1548</v>
      </c>
      <c r="B84" s="110">
        <v>78</v>
      </c>
      <c r="C84" s="110">
        <v>85</v>
      </c>
      <c r="D84" s="110">
        <v>8</v>
      </c>
      <c r="E84" s="110" t="s">
        <v>1411</v>
      </c>
      <c r="F84" s="104" t="s">
        <v>1412</v>
      </c>
      <c r="G84" s="301" t="s">
        <v>71</v>
      </c>
      <c r="H84" s="301"/>
      <c r="I84" s="301"/>
      <c r="J84" s="301"/>
      <c r="K84" s="95" t="s">
        <v>1577</v>
      </c>
    </row>
    <row r="85" spans="1:11" x14ac:dyDescent="0.2">
      <c r="A85" s="104" t="s">
        <v>1549</v>
      </c>
      <c r="B85" s="110">
        <v>86</v>
      </c>
      <c r="C85" s="110">
        <v>100</v>
      </c>
      <c r="D85" s="110">
        <v>13</v>
      </c>
      <c r="E85" s="110">
        <v>2</v>
      </c>
      <c r="F85" s="104" t="s">
        <v>1412</v>
      </c>
      <c r="G85" s="301" t="s">
        <v>1578</v>
      </c>
      <c r="H85" s="301"/>
      <c r="I85" s="301"/>
      <c r="J85" s="301"/>
      <c r="K85" s="95" t="s">
        <v>1579</v>
      </c>
    </row>
    <row r="86" spans="1:11" x14ac:dyDescent="0.2">
      <c r="A86" s="104" t="s">
        <v>1550</v>
      </c>
      <c r="B86" s="110">
        <v>101</v>
      </c>
      <c r="C86" s="110">
        <v>105</v>
      </c>
      <c r="D86" s="110">
        <v>5</v>
      </c>
      <c r="E86" s="110" t="s">
        <v>1411</v>
      </c>
      <c r="F86" s="104" t="s">
        <v>1412</v>
      </c>
      <c r="G86" s="301" t="s">
        <v>1580</v>
      </c>
      <c r="H86" s="301"/>
      <c r="I86" s="301"/>
      <c r="J86" s="301"/>
      <c r="K86" s="95" t="s">
        <v>238</v>
      </c>
    </row>
    <row r="87" spans="1:11" x14ac:dyDescent="0.2">
      <c r="A87" s="104" t="s">
        <v>1551</v>
      </c>
      <c r="B87" s="110">
        <v>106</v>
      </c>
      <c r="C87" s="110">
        <v>106</v>
      </c>
      <c r="D87" s="110">
        <v>1</v>
      </c>
      <c r="E87" s="110" t="s">
        <v>1411</v>
      </c>
      <c r="F87" s="104" t="s">
        <v>1419</v>
      </c>
      <c r="G87" s="301" t="s">
        <v>143</v>
      </c>
      <c r="H87" s="301"/>
      <c r="I87" s="301"/>
      <c r="J87" s="301"/>
      <c r="K87" s="95" t="s">
        <v>239</v>
      </c>
    </row>
    <row r="88" spans="1:11" ht="344.25" x14ac:dyDescent="0.2">
      <c r="A88" s="104" t="s">
        <v>1552</v>
      </c>
      <c r="B88" s="110">
        <v>107</v>
      </c>
      <c r="C88" s="110">
        <v>108</v>
      </c>
      <c r="D88" s="110">
        <v>2</v>
      </c>
      <c r="E88" s="110" t="s">
        <v>1411</v>
      </c>
      <c r="F88" s="104" t="s">
        <v>1412</v>
      </c>
      <c r="G88" s="301" t="s">
        <v>1581</v>
      </c>
      <c r="H88" s="301"/>
      <c r="I88" s="301"/>
      <c r="J88" s="301"/>
      <c r="K88" s="95" t="s">
        <v>240</v>
      </c>
    </row>
    <row r="89" spans="1:11" ht="51" x14ac:dyDescent="0.2">
      <c r="A89" s="104" t="s">
        <v>1553</v>
      </c>
      <c r="B89" s="110">
        <v>109</v>
      </c>
      <c r="C89" s="110">
        <v>109</v>
      </c>
      <c r="D89" s="110">
        <v>1</v>
      </c>
      <c r="E89" s="110" t="s">
        <v>1411</v>
      </c>
      <c r="F89" s="104" t="s">
        <v>1419</v>
      </c>
      <c r="G89" s="301" t="s">
        <v>1582</v>
      </c>
      <c r="H89" s="301"/>
      <c r="I89" s="301"/>
      <c r="J89" s="301"/>
      <c r="K89" s="95" t="s">
        <v>2749</v>
      </c>
    </row>
    <row r="90" spans="1:11" x14ac:dyDescent="0.2">
      <c r="A90" s="104" t="s">
        <v>1554</v>
      </c>
      <c r="B90" s="110">
        <v>110</v>
      </c>
      <c r="C90" s="110">
        <v>117</v>
      </c>
      <c r="D90" s="110">
        <v>8</v>
      </c>
      <c r="E90" s="110" t="s">
        <v>1411</v>
      </c>
      <c r="F90" s="104" t="s">
        <v>1412</v>
      </c>
      <c r="G90" s="301" t="s">
        <v>1583</v>
      </c>
      <c r="H90" s="301"/>
      <c r="I90" s="301"/>
      <c r="J90" s="301"/>
      <c r="K90" s="95" t="s">
        <v>1584</v>
      </c>
    </row>
    <row r="91" spans="1:11" ht="63.75" x14ac:dyDescent="0.2">
      <c r="A91" s="104" t="s">
        <v>1555</v>
      </c>
      <c r="B91" s="110">
        <v>118</v>
      </c>
      <c r="C91" s="110">
        <v>118</v>
      </c>
      <c r="D91" s="110">
        <v>1</v>
      </c>
      <c r="E91" s="110" t="s">
        <v>1411</v>
      </c>
      <c r="F91" s="104" t="s">
        <v>1412</v>
      </c>
      <c r="G91" s="301" t="s">
        <v>1585</v>
      </c>
      <c r="H91" s="301" t="s">
        <v>1586</v>
      </c>
      <c r="I91" s="301"/>
      <c r="J91" s="301"/>
      <c r="K91" s="147" t="s">
        <v>2713</v>
      </c>
    </row>
    <row r="92" spans="1:11" x14ac:dyDescent="0.2">
      <c r="A92" s="104" t="s">
        <v>1556</v>
      </c>
      <c r="B92" s="110">
        <v>119</v>
      </c>
      <c r="C92" s="110">
        <v>126</v>
      </c>
      <c r="D92" s="110">
        <v>8</v>
      </c>
      <c r="E92" s="110" t="s">
        <v>1411</v>
      </c>
      <c r="F92" s="104" t="s">
        <v>1412</v>
      </c>
      <c r="G92" s="301"/>
      <c r="H92" s="301" t="s">
        <v>1587</v>
      </c>
      <c r="I92" s="301"/>
      <c r="J92" s="301"/>
      <c r="K92" s="95" t="s">
        <v>1588</v>
      </c>
    </row>
    <row r="93" spans="1:11" ht="51" x14ac:dyDescent="0.2">
      <c r="A93" s="104" t="s">
        <v>1557</v>
      </c>
      <c r="B93" s="110">
        <v>127</v>
      </c>
      <c r="C93" s="110">
        <v>141</v>
      </c>
      <c r="D93" s="110">
        <v>13</v>
      </c>
      <c r="E93" s="110">
        <v>2</v>
      </c>
      <c r="F93" s="104" t="s">
        <v>1412</v>
      </c>
      <c r="G93" s="301"/>
      <c r="H93" s="301" t="s">
        <v>1589</v>
      </c>
      <c r="I93" s="301"/>
      <c r="J93" s="301"/>
      <c r="K93" s="147" t="s">
        <v>2768</v>
      </c>
    </row>
    <row r="94" spans="1:11" ht="51" x14ac:dyDescent="0.2">
      <c r="A94" s="104" t="s">
        <v>1558</v>
      </c>
      <c r="B94" s="110">
        <v>142</v>
      </c>
      <c r="C94" s="110">
        <v>142</v>
      </c>
      <c r="D94" s="110">
        <v>1</v>
      </c>
      <c r="E94" s="110" t="s">
        <v>1411</v>
      </c>
      <c r="F94" s="104" t="s">
        <v>1412</v>
      </c>
      <c r="G94" s="301" t="s">
        <v>1590</v>
      </c>
      <c r="H94" s="301" t="s">
        <v>1591</v>
      </c>
      <c r="I94" s="301"/>
      <c r="J94" s="301"/>
      <c r="K94" s="147" t="s">
        <v>2777</v>
      </c>
    </row>
    <row r="95" spans="1:11" x14ac:dyDescent="0.2">
      <c r="A95" s="104" t="s">
        <v>1559</v>
      </c>
      <c r="B95" s="110">
        <v>143</v>
      </c>
      <c r="C95" s="110">
        <v>150</v>
      </c>
      <c r="D95" s="110">
        <v>8</v>
      </c>
      <c r="E95" s="110" t="s">
        <v>1411</v>
      </c>
      <c r="F95" s="104" t="s">
        <v>1412</v>
      </c>
      <c r="G95" s="301"/>
      <c r="H95" s="301" t="s">
        <v>1592</v>
      </c>
      <c r="I95" s="301"/>
      <c r="J95" s="301"/>
      <c r="K95" s="95" t="s">
        <v>1593</v>
      </c>
    </row>
    <row r="96" spans="1:11" x14ac:dyDescent="0.2">
      <c r="A96" s="104" t="s">
        <v>1560</v>
      </c>
      <c r="B96" s="110">
        <v>151</v>
      </c>
      <c r="C96" s="110">
        <v>165</v>
      </c>
      <c r="D96" s="110">
        <v>13</v>
      </c>
      <c r="E96" s="110">
        <v>2</v>
      </c>
      <c r="F96" s="104" t="s">
        <v>1412</v>
      </c>
      <c r="G96" s="301"/>
      <c r="H96" s="301" t="s">
        <v>1594</v>
      </c>
      <c r="I96" s="301"/>
      <c r="J96" s="301"/>
      <c r="K96" s="95" t="s">
        <v>1595</v>
      </c>
    </row>
    <row r="97" spans="1:12" x14ac:dyDescent="0.2">
      <c r="A97" s="104" t="s">
        <v>1561</v>
      </c>
      <c r="B97" s="110">
        <v>166</v>
      </c>
      <c r="C97" s="110">
        <v>180</v>
      </c>
      <c r="D97" s="110">
        <v>13</v>
      </c>
      <c r="E97" s="110">
        <v>2</v>
      </c>
      <c r="F97" s="104" t="s">
        <v>1412</v>
      </c>
      <c r="G97" s="301" t="s">
        <v>1596</v>
      </c>
      <c r="H97" s="301"/>
      <c r="I97" s="301"/>
      <c r="J97" s="301"/>
      <c r="K97" s="95" t="s">
        <v>1597</v>
      </c>
    </row>
    <row r="98" spans="1:12" x14ac:dyDescent="0.2">
      <c r="A98" s="104" t="s">
        <v>1562</v>
      </c>
      <c r="B98" s="110">
        <v>181</v>
      </c>
      <c r="C98" s="110">
        <v>195</v>
      </c>
      <c r="D98" s="110">
        <v>13</v>
      </c>
      <c r="E98" s="110">
        <v>2</v>
      </c>
      <c r="F98" s="104" t="s">
        <v>1412</v>
      </c>
      <c r="G98" s="301" t="s">
        <v>1598</v>
      </c>
      <c r="H98" s="301"/>
      <c r="I98" s="301"/>
      <c r="J98" s="301"/>
      <c r="K98" s="95" t="s">
        <v>1599</v>
      </c>
    </row>
    <row r="99" spans="1:12" ht="25.5" x14ac:dyDescent="0.2">
      <c r="A99" s="104" t="s">
        <v>1563</v>
      </c>
      <c r="B99" s="110">
        <v>196</v>
      </c>
      <c r="C99" s="110">
        <v>220</v>
      </c>
      <c r="D99" s="110">
        <v>25</v>
      </c>
      <c r="E99" s="110" t="s">
        <v>1411</v>
      </c>
      <c r="F99" s="104" t="s">
        <v>1419</v>
      </c>
      <c r="G99" s="301" t="s">
        <v>2736</v>
      </c>
      <c r="H99" s="301"/>
      <c r="I99" s="301"/>
      <c r="J99" s="301"/>
      <c r="K99" s="95" t="s">
        <v>2737</v>
      </c>
    </row>
    <row r="100" spans="1:12" x14ac:dyDescent="0.2">
      <c r="A100" s="104" t="s">
        <v>1564</v>
      </c>
      <c r="B100" s="110">
        <v>221</v>
      </c>
      <c r="C100" s="110">
        <v>221</v>
      </c>
      <c r="D100" s="110">
        <v>1</v>
      </c>
      <c r="E100" s="110" t="s">
        <v>1411</v>
      </c>
      <c r="F100" s="104" t="s">
        <v>1412</v>
      </c>
      <c r="G100" s="301" t="s">
        <v>1600</v>
      </c>
      <c r="H100" s="301"/>
      <c r="I100" s="301"/>
      <c r="J100" s="301"/>
      <c r="K100" s="95" t="s">
        <v>241</v>
      </c>
    </row>
    <row r="101" spans="1:12" x14ac:dyDescent="0.2">
      <c r="A101" s="104" t="s">
        <v>1565</v>
      </c>
      <c r="B101" s="110">
        <v>222</v>
      </c>
      <c r="C101" s="110">
        <v>223</v>
      </c>
      <c r="D101" s="110">
        <v>2</v>
      </c>
      <c r="E101" s="110" t="s">
        <v>1411</v>
      </c>
      <c r="F101" s="104" t="s">
        <v>1412</v>
      </c>
      <c r="G101" s="301" t="s">
        <v>1601</v>
      </c>
      <c r="H101" s="301"/>
      <c r="I101" s="301"/>
      <c r="J101" s="301"/>
      <c r="K101" s="95" t="s">
        <v>242</v>
      </c>
    </row>
    <row r="102" spans="1:12" x14ac:dyDescent="0.2">
      <c r="A102" s="104" t="s">
        <v>1566</v>
      </c>
      <c r="B102" s="110">
        <v>224</v>
      </c>
      <c r="C102" s="110">
        <v>224</v>
      </c>
      <c r="D102" s="110">
        <v>1</v>
      </c>
      <c r="E102" s="110" t="s">
        <v>1411</v>
      </c>
      <c r="F102" s="104" t="s">
        <v>1412</v>
      </c>
      <c r="G102" s="301" t="s">
        <v>0</v>
      </c>
      <c r="H102" s="301"/>
      <c r="I102" s="301"/>
      <c r="J102" s="301"/>
      <c r="K102" s="95" t="s">
        <v>243</v>
      </c>
    </row>
    <row r="103" spans="1:12" x14ac:dyDescent="0.2">
      <c r="A103" s="104" t="s">
        <v>1567</v>
      </c>
      <c r="B103" s="110">
        <v>225</v>
      </c>
      <c r="C103" s="110">
        <v>227</v>
      </c>
      <c r="D103" s="110">
        <v>3</v>
      </c>
      <c r="E103" s="110" t="s">
        <v>1411</v>
      </c>
      <c r="F103" s="104" t="s">
        <v>1419</v>
      </c>
      <c r="G103" s="301" t="s">
        <v>1</v>
      </c>
      <c r="H103" s="301"/>
      <c r="I103" s="301"/>
      <c r="J103" s="301"/>
      <c r="K103" s="95" t="s">
        <v>244</v>
      </c>
    </row>
    <row r="104" spans="1:12" ht="38.25" x14ac:dyDescent="0.2">
      <c r="A104" s="104" t="s">
        <v>1568</v>
      </c>
      <c r="B104" s="110">
        <v>228</v>
      </c>
      <c r="C104" s="110">
        <v>229</v>
      </c>
      <c r="D104" s="110">
        <v>2</v>
      </c>
      <c r="E104" s="110" t="s">
        <v>1411</v>
      </c>
      <c r="F104" s="104" t="s">
        <v>1412</v>
      </c>
      <c r="G104" s="301" t="s">
        <v>2</v>
      </c>
      <c r="H104" s="301"/>
      <c r="I104" s="301"/>
      <c r="J104" s="301"/>
      <c r="K104" s="95" t="s">
        <v>245</v>
      </c>
    </row>
    <row r="105" spans="1:12" x14ac:dyDescent="0.2">
      <c r="A105" s="104" t="s">
        <v>1569</v>
      </c>
      <c r="B105" s="110">
        <v>230</v>
      </c>
      <c r="C105" s="110">
        <v>239</v>
      </c>
      <c r="D105" s="110">
        <v>10</v>
      </c>
      <c r="E105" s="110" t="s">
        <v>1411</v>
      </c>
      <c r="F105" s="104" t="s">
        <v>1412</v>
      </c>
      <c r="G105" s="301" t="s">
        <v>3</v>
      </c>
      <c r="H105" s="301"/>
      <c r="I105" s="301"/>
      <c r="J105" s="301"/>
      <c r="K105" s="95" t="s">
        <v>246</v>
      </c>
    </row>
    <row r="106" spans="1:12" x14ac:dyDescent="0.2">
      <c r="A106" s="104" t="s">
        <v>1570</v>
      </c>
      <c r="B106" s="110">
        <v>240</v>
      </c>
      <c r="C106" s="110">
        <v>240</v>
      </c>
      <c r="D106" s="110">
        <v>1</v>
      </c>
      <c r="E106" s="110" t="s">
        <v>1411</v>
      </c>
      <c r="F106" s="104" t="s">
        <v>1419</v>
      </c>
      <c r="G106" s="301" t="s">
        <v>1418</v>
      </c>
      <c r="H106" s="301"/>
      <c r="I106" s="301"/>
      <c r="J106" s="301"/>
      <c r="K106" s="95" t="s">
        <v>1524</v>
      </c>
    </row>
    <row r="107" spans="1:12" x14ac:dyDescent="0.2">
      <c r="A107" s="103"/>
      <c r="B107" s="111"/>
    </row>
    <row r="108" spans="1:12" x14ac:dyDescent="0.2">
      <c r="A108" s="308" t="s">
        <v>1229</v>
      </c>
      <c r="B108" s="308"/>
      <c r="C108" s="308"/>
      <c r="D108" s="308"/>
      <c r="E108" s="308"/>
      <c r="F108" s="308"/>
      <c r="G108" s="308"/>
      <c r="H108" s="308"/>
      <c r="I108" s="308"/>
      <c r="J108" s="308"/>
      <c r="K108" s="308"/>
    </row>
    <row r="109" spans="1:12" x14ac:dyDescent="0.2">
      <c r="A109" s="309" t="s">
        <v>112</v>
      </c>
      <c r="B109" s="310" t="s">
        <v>1403</v>
      </c>
      <c r="C109" s="310"/>
      <c r="D109" s="106" t="s">
        <v>1404</v>
      </c>
      <c r="E109" s="106" t="s">
        <v>1404</v>
      </c>
      <c r="F109" s="309" t="s">
        <v>1381</v>
      </c>
      <c r="G109" s="311" t="s">
        <v>1466</v>
      </c>
      <c r="H109" s="311"/>
      <c r="I109" s="311"/>
      <c r="J109" s="311"/>
      <c r="K109" s="311"/>
    </row>
    <row r="110" spans="1:12" x14ac:dyDescent="0.2">
      <c r="A110" s="309"/>
      <c r="B110" s="106" t="s">
        <v>1405</v>
      </c>
      <c r="C110" s="106" t="s">
        <v>1406</v>
      </c>
      <c r="D110" s="106" t="s">
        <v>1407</v>
      </c>
      <c r="E110" s="106" t="s">
        <v>1408</v>
      </c>
      <c r="F110" s="309"/>
      <c r="G110" s="311"/>
      <c r="H110" s="311"/>
      <c r="I110" s="311"/>
      <c r="J110" s="311"/>
      <c r="K110" s="311"/>
    </row>
    <row r="111" spans="1:12" ht="15" x14ac:dyDescent="0.25">
      <c r="A111" s="123" t="s">
        <v>1207</v>
      </c>
      <c r="B111" s="123">
        <v>1</v>
      </c>
      <c r="C111" s="123">
        <v>3</v>
      </c>
      <c r="D111" s="123">
        <v>3</v>
      </c>
      <c r="E111" s="124" t="s">
        <v>249</v>
      </c>
      <c r="F111" s="123" t="s">
        <v>1412</v>
      </c>
      <c r="G111" s="328" t="s">
        <v>1410</v>
      </c>
      <c r="H111" s="329"/>
      <c r="I111" s="329"/>
      <c r="J111" s="330"/>
      <c r="K111" s="121" t="s">
        <v>4</v>
      </c>
      <c r="L111" s="120"/>
    </row>
    <row r="112" spans="1:12" ht="51" x14ac:dyDescent="0.25">
      <c r="A112" s="123" t="s">
        <v>1208</v>
      </c>
      <c r="B112" s="123">
        <v>4</v>
      </c>
      <c r="C112" s="123">
        <v>7</v>
      </c>
      <c r="D112" s="123">
        <v>4</v>
      </c>
      <c r="E112" s="124" t="s">
        <v>1411</v>
      </c>
      <c r="F112" s="123" t="s">
        <v>1412</v>
      </c>
      <c r="G112" s="331"/>
      <c r="H112" s="332"/>
      <c r="I112" s="332"/>
      <c r="J112" s="333"/>
      <c r="K112" s="121" t="s">
        <v>1520</v>
      </c>
      <c r="L112" s="120"/>
    </row>
    <row r="113" spans="1:12" ht="15" x14ac:dyDescent="0.25">
      <c r="A113" s="123" t="s">
        <v>1209</v>
      </c>
      <c r="B113" s="123">
        <v>8</v>
      </c>
      <c r="C113" s="123">
        <v>8</v>
      </c>
      <c r="D113" s="123">
        <v>1</v>
      </c>
      <c r="E113" s="124" t="s">
        <v>1411</v>
      </c>
      <c r="F113" s="123" t="s">
        <v>1412</v>
      </c>
      <c r="G113" s="334"/>
      <c r="H113" s="335"/>
      <c r="I113" s="335"/>
      <c r="J113" s="336"/>
      <c r="K113" s="121" t="s">
        <v>230</v>
      </c>
      <c r="L113" s="120"/>
    </row>
    <row r="114" spans="1:12" ht="51" x14ac:dyDescent="0.25">
      <c r="A114" s="123" t="s">
        <v>1210</v>
      </c>
      <c r="B114" s="123">
        <v>9</v>
      </c>
      <c r="C114" s="123">
        <v>13</v>
      </c>
      <c r="D114" s="123">
        <v>5</v>
      </c>
      <c r="E114" s="124" t="s">
        <v>1411</v>
      </c>
      <c r="F114" s="123" t="s">
        <v>1412</v>
      </c>
      <c r="G114" s="328" t="s">
        <v>1507</v>
      </c>
      <c r="H114" s="329"/>
      <c r="I114" s="329"/>
      <c r="J114" s="330"/>
      <c r="K114" s="121" t="s">
        <v>231</v>
      </c>
      <c r="L114" s="120"/>
    </row>
    <row r="115" spans="1:12" ht="15" x14ac:dyDescent="0.25">
      <c r="A115" s="123" t="s">
        <v>1211</v>
      </c>
      <c r="B115" s="123">
        <v>14</v>
      </c>
      <c r="C115" s="123">
        <v>14</v>
      </c>
      <c r="D115" s="123">
        <v>1</v>
      </c>
      <c r="E115" s="124" t="s">
        <v>1411</v>
      </c>
      <c r="F115" s="123" t="s">
        <v>1419</v>
      </c>
      <c r="G115" s="331"/>
      <c r="H115" s="332"/>
      <c r="I115" s="332"/>
      <c r="J115" s="333"/>
      <c r="K115" s="121" t="s">
        <v>1234</v>
      </c>
      <c r="L115" s="120"/>
    </row>
    <row r="116" spans="1:12" s="1" customFormat="1" ht="15" x14ac:dyDescent="0.25">
      <c r="A116" s="123" t="s">
        <v>1212</v>
      </c>
      <c r="B116" s="123">
        <v>15</v>
      </c>
      <c r="C116" s="123">
        <v>15</v>
      </c>
      <c r="D116" s="123">
        <v>1</v>
      </c>
      <c r="E116" s="124" t="s">
        <v>1411</v>
      </c>
      <c r="F116" s="123" t="s">
        <v>1419</v>
      </c>
      <c r="G116" s="331"/>
      <c r="H116" s="332"/>
      <c r="I116" s="332"/>
      <c r="J116" s="333"/>
      <c r="K116" s="121" t="s">
        <v>1524</v>
      </c>
      <c r="L116" s="120"/>
    </row>
    <row r="117" spans="1:12" ht="63.75" x14ac:dyDescent="0.25">
      <c r="A117" s="123" t="s">
        <v>1213</v>
      </c>
      <c r="B117" s="123">
        <v>16</v>
      </c>
      <c r="C117" s="123">
        <v>17</v>
      </c>
      <c r="D117" s="123">
        <v>2</v>
      </c>
      <c r="E117" s="124" t="s">
        <v>1411</v>
      </c>
      <c r="F117" s="123" t="s">
        <v>1412</v>
      </c>
      <c r="G117" s="334"/>
      <c r="H117" s="335"/>
      <c r="I117" s="335"/>
      <c r="J117" s="336"/>
      <c r="K117" s="121" t="s">
        <v>2712</v>
      </c>
      <c r="L117" s="120"/>
    </row>
    <row r="118" spans="1:12" ht="38.25" x14ac:dyDescent="0.25">
      <c r="A118" s="123" t="s">
        <v>1214</v>
      </c>
      <c r="B118" s="123">
        <v>18</v>
      </c>
      <c r="C118" s="123">
        <v>18</v>
      </c>
      <c r="D118" s="123">
        <v>1</v>
      </c>
      <c r="E118" s="124" t="s">
        <v>1411</v>
      </c>
      <c r="F118" s="123" t="s">
        <v>1412</v>
      </c>
      <c r="G118" s="328" t="s">
        <v>2750</v>
      </c>
      <c r="H118" s="329"/>
      <c r="I118" s="329"/>
      <c r="J118" s="330"/>
      <c r="K118" s="121" t="s">
        <v>2751</v>
      </c>
      <c r="L118" s="120"/>
    </row>
    <row r="119" spans="1:12" ht="15" x14ac:dyDescent="0.25">
      <c r="A119" s="123" t="s">
        <v>1215</v>
      </c>
      <c r="B119" s="123">
        <v>19</v>
      </c>
      <c r="C119" s="123">
        <v>33</v>
      </c>
      <c r="D119" s="123">
        <v>15</v>
      </c>
      <c r="E119" s="124" t="s">
        <v>1411</v>
      </c>
      <c r="F119" s="123" t="s">
        <v>1412</v>
      </c>
      <c r="G119" s="331"/>
      <c r="H119" s="332"/>
      <c r="I119" s="332"/>
      <c r="J119" s="333"/>
      <c r="K119" s="121" t="s">
        <v>250</v>
      </c>
      <c r="L119" s="120"/>
    </row>
    <row r="120" spans="1:12" ht="15" x14ac:dyDescent="0.25">
      <c r="A120" s="123" t="s">
        <v>1216</v>
      </c>
      <c r="B120" s="123">
        <v>34</v>
      </c>
      <c r="C120" s="123">
        <v>73</v>
      </c>
      <c r="D120" s="123">
        <v>40</v>
      </c>
      <c r="E120" s="124" t="s">
        <v>1411</v>
      </c>
      <c r="F120" s="123" t="s">
        <v>1419</v>
      </c>
      <c r="G120" s="331"/>
      <c r="H120" s="332"/>
      <c r="I120" s="332"/>
      <c r="J120" s="333"/>
      <c r="K120" s="121" t="s">
        <v>19</v>
      </c>
      <c r="L120" s="120"/>
    </row>
    <row r="121" spans="1:12" ht="15" x14ac:dyDescent="0.25">
      <c r="A121" s="123" t="s">
        <v>1217</v>
      </c>
      <c r="B121" s="123">
        <v>74</v>
      </c>
      <c r="C121" s="123">
        <v>113</v>
      </c>
      <c r="D121" s="123">
        <v>40</v>
      </c>
      <c r="E121" s="124" t="s">
        <v>1411</v>
      </c>
      <c r="F121" s="123" t="s">
        <v>1419</v>
      </c>
      <c r="G121" s="331"/>
      <c r="H121" s="332"/>
      <c r="I121" s="332"/>
      <c r="J121" s="333"/>
      <c r="K121" s="122" t="s">
        <v>1240</v>
      </c>
      <c r="L121" s="120"/>
    </row>
    <row r="122" spans="1:12" ht="15" x14ac:dyDescent="0.25">
      <c r="A122" s="123" t="s">
        <v>1218</v>
      </c>
      <c r="B122" s="123">
        <v>114</v>
      </c>
      <c r="C122" s="123">
        <v>128</v>
      </c>
      <c r="D122" s="123">
        <v>15</v>
      </c>
      <c r="E122" s="124" t="s">
        <v>1411</v>
      </c>
      <c r="F122" s="123" t="s">
        <v>1419</v>
      </c>
      <c r="G122" s="331"/>
      <c r="H122" s="332"/>
      <c r="I122" s="332"/>
      <c r="J122" s="333"/>
      <c r="K122" s="122" t="s">
        <v>1241</v>
      </c>
      <c r="L122" s="120"/>
    </row>
    <row r="123" spans="1:12" ht="15" x14ac:dyDescent="0.25">
      <c r="A123" s="123" t="s">
        <v>1219</v>
      </c>
      <c r="B123" s="123">
        <v>129</v>
      </c>
      <c r="C123" s="123">
        <v>133</v>
      </c>
      <c r="D123" s="123">
        <v>5</v>
      </c>
      <c r="E123" s="124" t="s">
        <v>1411</v>
      </c>
      <c r="F123" s="123" t="s">
        <v>1412</v>
      </c>
      <c r="G123" s="331"/>
      <c r="H123" s="332"/>
      <c r="I123" s="332"/>
      <c r="J123" s="333"/>
      <c r="K123" s="122" t="s">
        <v>1243</v>
      </c>
      <c r="L123" s="120"/>
    </row>
    <row r="124" spans="1:12" ht="15" x14ac:dyDescent="0.25">
      <c r="A124" s="123" t="s">
        <v>1220</v>
      </c>
      <c r="B124" s="123">
        <v>134</v>
      </c>
      <c r="C124" s="123">
        <v>136</v>
      </c>
      <c r="D124" s="123">
        <v>3</v>
      </c>
      <c r="E124" s="124" t="s">
        <v>1411</v>
      </c>
      <c r="F124" s="123" t="s">
        <v>1412</v>
      </c>
      <c r="G124" s="331"/>
      <c r="H124" s="332"/>
      <c r="I124" s="332"/>
      <c r="J124" s="333"/>
      <c r="K124" s="122" t="s">
        <v>1230</v>
      </c>
      <c r="L124" s="120"/>
    </row>
    <row r="125" spans="1:12" ht="15" x14ac:dyDescent="0.25">
      <c r="A125" s="123" t="s">
        <v>1221</v>
      </c>
      <c r="B125" s="123">
        <v>137</v>
      </c>
      <c r="C125" s="123">
        <v>151</v>
      </c>
      <c r="D125" s="123">
        <v>15</v>
      </c>
      <c r="E125" s="124" t="s">
        <v>1411</v>
      </c>
      <c r="F125" s="123" t="s">
        <v>1419</v>
      </c>
      <c r="G125" s="331"/>
      <c r="H125" s="332"/>
      <c r="I125" s="332"/>
      <c r="J125" s="333"/>
      <c r="K125" s="122" t="s">
        <v>1242</v>
      </c>
      <c r="L125" s="120"/>
    </row>
    <row r="126" spans="1:12" ht="15" x14ac:dyDescent="0.25">
      <c r="A126" s="123" t="s">
        <v>1222</v>
      </c>
      <c r="B126" s="123">
        <v>152</v>
      </c>
      <c r="C126" s="123">
        <v>153</v>
      </c>
      <c r="D126" s="123">
        <v>2</v>
      </c>
      <c r="E126" s="124" t="s">
        <v>1411</v>
      </c>
      <c r="F126" s="123" t="s">
        <v>1419</v>
      </c>
      <c r="G126" s="334"/>
      <c r="H126" s="335"/>
      <c r="I126" s="335"/>
      <c r="J126" s="336"/>
      <c r="K126" s="121" t="s">
        <v>1233</v>
      </c>
      <c r="L126" s="120"/>
    </row>
    <row r="127" spans="1:12" ht="38.25" x14ac:dyDescent="0.25">
      <c r="A127" s="123" t="s">
        <v>1223</v>
      </c>
      <c r="B127" s="123">
        <v>154</v>
      </c>
      <c r="C127" s="123">
        <v>154</v>
      </c>
      <c r="D127" s="123">
        <v>1</v>
      </c>
      <c r="E127" s="124" t="s">
        <v>1411</v>
      </c>
      <c r="F127" s="123" t="s">
        <v>1412</v>
      </c>
      <c r="G127" s="328" t="s">
        <v>251</v>
      </c>
      <c r="H127" s="329"/>
      <c r="I127" s="329"/>
      <c r="J127" s="330"/>
      <c r="K127" s="121" t="s">
        <v>1235</v>
      </c>
      <c r="L127" s="120"/>
    </row>
    <row r="128" spans="1:12" ht="15" x14ac:dyDescent="0.25">
      <c r="A128" s="123" t="s">
        <v>1224</v>
      </c>
      <c r="B128" s="123">
        <v>155</v>
      </c>
      <c r="C128" s="123">
        <v>169</v>
      </c>
      <c r="D128" s="123">
        <v>15</v>
      </c>
      <c r="E128" s="124" t="s">
        <v>1411</v>
      </c>
      <c r="F128" s="123" t="s">
        <v>1412</v>
      </c>
      <c r="G128" s="334"/>
      <c r="H128" s="335"/>
      <c r="I128" s="335"/>
      <c r="J128" s="336"/>
      <c r="K128" s="121" t="s">
        <v>250</v>
      </c>
      <c r="L128" s="120"/>
    </row>
    <row r="129" spans="1:12" ht="15" customHeight="1" x14ac:dyDescent="0.25">
      <c r="A129" s="123" t="s">
        <v>1225</v>
      </c>
      <c r="B129" s="123">
        <v>170</v>
      </c>
      <c r="C129" s="123">
        <v>209</v>
      </c>
      <c r="D129" s="123">
        <v>40</v>
      </c>
      <c r="E129" s="124" t="s">
        <v>1411</v>
      </c>
      <c r="F129" s="123" t="s">
        <v>1419</v>
      </c>
      <c r="G129" s="337" t="s">
        <v>252</v>
      </c>
      <c r="H129" s="338"/>
      <c r="I129" s="338"/>
      <c r="J129" s="339"/>
      <c r="K129" s="121" t="s">
        <v>252</v>
      </c>
      <c r="L129" s="120"/>
    </row>
    <row r="130" spans="1:12" ht="72.75" customHeight="1" x14ac:dyDescent="0.25">
      <c r="A130" s="123" t="s">
        <v>1226</v>
      </c>
      <c r="B130" s="123">
        <v>210</v>
      </c>
      <c r="C130" s="123">
        <v>212</v>
      </c>
      <c r="D130" s="123">
        <v>3</v>
      </c>
      <c r="E130" s="124" t="s">
        <v>1411</v>
      </c>
      <c r="F130" s="123" t="s">
        <v>1412</v>
      </c>
      <c r="G130" s="340" t="s">
        <v>1231</v>
      </c>
      <c r="H130" s="341"/>
      <c r="I130" s="341"/>
      <c r="J130" s="342"/>
      <c r="K130" s="121" t="s">
        <v>2738</v>
      </c>
      <c r="L130" s="120"/>
    </row>
    <row r="131" spans="1:12" ht="54" customHeight="1" x14ac:dyDescent="0.25">
      <c r="A131" s="123" t="s">
        <v>1227</v>
      </c>
      <c r="B131" s="123">
        <v>213</v>
      </c>
      <c r="C131" s="123">
        <v>232</v>
      </c>
      <c r="D131" s="123">
        <v>20</v>
      </c>
      <c r="E131" s="124" t="s">
        <v>1411</v>
      </c>
      <c r="F131" s="123" t="s">
        <v>1419</v>
      </c>
      <c r="G131" s="340" t="s">
        <v>1232</v>
      </c>
      <c r="H131" s="303"/>
      <c r="I131" s="303"/>
      <c r="J131" s="304"/>
      <c r="K131" s="121" t="s">
        <v>2771</v>
      </c>
      <c r="L131" s="120"/>
    </row>
    <row r="132" spans="1:12" ht="15" x14ac:dyDescent="0.25">
      <c r="A132" s="123" t="s">
        <v>1228</v>
      </c>
      <c r="B132" s="123">
        <v>233</v>
      </c>
      <c r="C132" s="123">
        <v>240</v>
      </c>
      <c r="D132" s="123">
        <v>8</v>
      </c>
      <c r="E132" s="124" t="s">
        <v>1411</v>
      </c>
      <c r="F132" s="123" t="s">
        <v>1419</v>
      </c>
      <c r="G132" s="340" t="s">
        <v>1418</v>
      </c>
      <c r="H132" s="303"/>
      <c r="I132" s="303"/>
      <c r="J132" s="304"/>
      <c r="K132" s="122" t="s">
        <v>1509</v>
      </c>
      <c r="L132" s="120"/>
    </row>
    <row r="133" spans="1:12" ht="15" x14ac:dyDescent="0.2">
      <c r="A133" s="119"/>
      <c r="B133" s="111"/>
      <c r="C133" s="111"/>
      <c r="D133" s="111"/>
      <c r="E133" s="111"/>
      <c r="F133" s="118"/>
      <c r="G133" s="117"/>
      <c r="H133" s="117"/>
      <c r="I133" s="117"/>
      <c r="J133" s="117"/>
      <c r="K133" s="117"/>
    </row>
    <row r="136" spans="1:12" x14ac:dyDescent="0.2">
      <c r="A136" s="308" t="s">
        <v>1244</v>
      </c>
      <c r="B136" s="308"/>
      <c r="C136" s="308"/>
      <c r="D136" s="308"/>
      <c r="E136" s="308"/>
      <c r="F136" s="308"/>
      <c r="G136" s="308"/>
      <c r="H136" s="308"/>
      <c r="I136" s="308"/>
      <c r="J136" s="308"/>
      <c r="K136" s="308"/>
    </row>
    <row r="137" spans="1:12" x14ac:dyDescent="0.2">
      <c r="A137" s="309" t="s">
        <v>112</v>
      </c>
      <c r="B137" s="310" t="s">
        <v>1403</v>
      </c>
      <c r="C137" s="310"/>
      <c r="D137" s="106" t="s">
        <v>1404</v>
      </c>
      <c r="E137" s="106" t="s">
        <v>1404</v>
      </c>
      <c r="F137" s="309" t="s">
        <v>1381</v>
      </c>
      <c r="G137" s="311" t="s">
        <v>1466</v>
      </c>
      <c r="H137" s="311"/>
      <c r="I137" s="311"/>
      <c r="J137" s="311"/>
      <c r="K137" s="311"/>
    </row>
    <row r="138" spans="1:12" x14ac:dyDescent="0.2">
      <c r="A138" s="309"/>
      <c r="B138" s="106" t="s">
        <v>1405</v>
      </c>
      <c r="C138" s="106" t="s">
        <v>1406</v>
      </c>
      <c r="D138" s="106" t="s">
        <v>1407</v>
      </c>
      <c r="E138" s="106" t="s">
        <v>1408</v>
      </c>
      <c r="F138" s="309"/>
      <c r="G138" s="311"/>
      <c r="H138" s="311"/>
      <c r="I138" s="311"/>
      <c r="J138" s="311"/>
      <c r="K138" s="311"/>
    </row>
    <row r="139" spans="1:12" x14ac:dyDescent="0.2">
      <c r="A139" s="104" t="s">
        <v>1245</v>
      </c>
      <c r="B139" s="110">
        <v>1</v>
      </c>
      <c r="C139" s="110">
        <v>3</v>
      </c>
      <c r="D139" s="110">
        <v>3</v>
      </c>
      <c r="E139" s="110" t="s">
        <v>249</v>
      </c>
      <c r="F139" s="104" t="s">
        <v>1412</v>
      </c>
      <c r="G139" s="301" t="s">
        <v>1410</v>
      </c>
      <c r="H139" s="301" t="s">
        <v>38</v>
      </c>
      <c r="I139" s="301"/>
      <c r="J139" s="301"/>
      <c r="K139" s="95" t="s">
        <v>4</v>
      </c>
    </row>
    <row r="140" spans="1:12" ht="51" x14ac:dyDescent="0.2">
      <c r="A140" s="104" t="s">
        <v>1246</v>
      </c>
      <c r="B140" s="110">
        <v>4</v>
      </c>
      <c r="C140" s="110">
        <v>7</v>
      </c>
      <c r="D140" s="110">
        <v>4</v>
      </c>
      <c r="E140" s="110" t="s">
        <v>1411</v>
      </c>
      <c r="F140" s="104" t="s">
        <v>1412</v>
      </c>
      <c r="G140" s="301"/>
      <c r="H140" s="301" t="s">
        <v>1414</v>
      </c>
      <c r="I140" s="301"/>
      <c r="J140" s="301"/>
      <c r="K140" s="95" t="s">
        <v>1520</v>
      </c>
    </row>
    <row r="141" spans="1:12" x14ac:dyDescent="0.2">
      <c r="A141" s="104" t="s">
        <v>1247</v>
      </c>
      <c r="B141" s="110">
        <v>8</v>
      </c>
      <c r="C141" s="110">
        <v>8</v>
      </c>
      <c r="D141" s="110">
        <v>1</v>
      </c>
      <c r="E141" s="110" t="s">
        <v>1411</v>
      </c>
      <c r="F141" s="104" t="s">
        <v>1412</v>
      </c>
      <c r="G141" s="301"/>
      <c r="H141" s="301" t="s">
        <v>1416</v>
      </c>
      <c r="I141" s="301"/>
      <c r="J141" s="301"/>
      <c r="K141" s="95" t="s">
        <v>230</v>
      </c>
    </row>
    <row r="142" spans="1:12" ht="51" x14ac:dyDescent="0.2">
      <c r="A142" s="104" t="s">
        <v>1248</v>
      </c>
      <c r="B142" s="110">
        <v>9</v>
      </c>
      <c r="C142" s="110">
        <v>13</v>
      </c>
      <c r="D142" s="110">
        <v>5</v>
      </c>
      <c r="E142" s="110" t="s">
        <v>1411</v>
      </c>
      <c r="F142" s="104" t="s">
        <v>1412</v>
      </c>
      <c r="G142" s="301" t="s">
        <v>1507</v>
      </c>
      <c r="H142" s="301" t="s">
        <v>1571</v>
      </c>
      <c r="I142" s="301"/>
      <c r="J142" s="301"/>
      <c r="K142" s="95" t="s">
        <v>231</v>
      </c>
    </row>
    <row r="143" spans="1:12" x14ac:dyDescent="0.2">
      <c r="A143" s="104" t="s">
        <v>1249</v>
      </c>
      <c r="B143" s="110">
        <v>14</v>
      </c>
      <c r="C143" s="110">
        <v>14</v>
      </c>
      <c r="D143" s="110">
        <v>1</v>
      </c>
      <c r="E143" s="110" t="s">
        <v>1411</v>
      </c>
      <c r="F143" s="104" t="s">
        <v>1419</v>
      </c>
      <c r="G143" s="301"/>
      <c r="H143" s="301" t="s">
        <v>1572</v>
      </c>
      <c r="I143" s="301"/>
      <c r="J143" s="301"/>
      <c r="K143" s="95" t="s">
        <v>1292</v>
      </c>
    </row>
    <row r="144" spans="1:12" x14ac:dyDescent="0.2">
      <c r="A144" s="104" t="s">
        <v>1250</v>
      </c>
      <c r="B144" s="110">
        <v>15</v>
      </c>
      <c r="C144" s="110">
        <v>15</v>
      </c>
      <c r="D144" s="110">
        <v>1</v>
      </c>
      <c r="E144" s="110" t="s">
        <v>1411</v>
      </c>
      <c r="F144" s="104" t="s">
        <v>1419</v>
      </c>
      <c r="G144" s="301"/>
      <c r="H144" s="301" t="s">
        <v>1418</v>
      </c>
      <c r="I144" s="301"/>
      <c r="J144" s="301"/>
      <c r="K144" s="95" t="s">
        <v>1524</v>
      </c>
    </row>
    <row r="145" spans="1:11" ht="51" x14ac:dyDescent="0.2">
      <c r="A145" s="104" t="s">
        <v>1251</v>
      </c>
      <c r="B145" s="110">
        <v>16</v>
      </c>
      <c r="C145" s="110">
        <v>17</v>
      </c>
      <c r="D145" s="110">
        <v>2</v>
      </c>
      <c r="E145" s="110" t="s">
        <v>1411</v>
      </c>
      <c r="F145" s="104" t="s">
        <v>1412</v>
      </c>
      <c r="G145" s="301"/>
      <c r="H145" s="301" t="s">
        <v>1573</v>
      </c>
      <c r="I145" s="301"/>
      <c r="J145" s="301"/>
      <c r="K145" s="147" t="s">
        <v>2710</v>
      </c>
    </row>
    <row r="146" spans="1:11" ht="51" x14ac:dyDescent="0.2">
      <c r="A146" s="104" t="s">
        <v>1252</v>
      </c>
      <c r="B146" s="110">
        <v>18</v>
      </c>
      <c r="C146" s="110">
        <v>18</v>
      </c>
      <c r="D146" s="110">
        <v>1</v>
      </c>
      <c r="E146" s="110" t="s">
        <v>1411</v>
      </c>
      <c r="F146" s="104" t="s">
        <v>1412</v>
      </c>
      <c r="G146" s="301" t="s">
        <v>1274</v>
      </c>
      <c r="H146" s="301" t="s">
        <v>1275</v>
      </c>
      <c r="I146" s="301"/>
      <c r="J146" s="301"/>
      <c r="K146" s="147" t="s">
        <v>2775</v>
      </c>
    </row>
    <row r="147" spans="1:11" x14ac:dyDescent="0.2">
      <c r="A147" s="104" t="s">
        <v>1253</v>
      </c>
      <c r="B147" s="110">
        <v>19</v>
      </c>
      <c r="C147" s="110">
        <v>26</v>
      </c>
      <c r="D147" s="110">
        <v>8</v>
      </c>
      <c r="E147" s="110" t="s">
        <v>1411</v>
      </c>
      <c r="F147" s="104" t="s">
        <v>1412</v>
      </c>
      <c r="G147" s="301"/>
      <c r="H147" s="301" t="s">
        <v>1276</v>
      </c>
      <c r="I147" s="301"/>
      <c r="J147" s="301"/>
      <c r="K147" s="95" t="s">
        <v>1277</v>
      </c>
    </row>
    <row r="148" spans="1:11" x14ac:dyDescent="0.2">
      <c r="A148" s="104" t="s">
        <v>1254</v>
      </c>
      <c r="B148" s="110">
        <v>27</v>
      </c>
      <c r="C148" s="110">
        <v>41</v>
      </c>
      <c r="D148" s="110">
        <v>13</v>
      </c>
      <c r="E148" s="110">
        <v>2</v>
      </c>
      <c r="F148" s="104" t="s">
        <v>1412</v>
      </c>
      <c r="G148" s="301"/>
      <c r="H148" s="301" t="s">
        <v>1278</v>
      </c>
      <c r="I148" s="301"/>
      <c r="J148" s="301"/>
      <c r="K148" s="95" t="s">
        <v>1595</v>
      </c>
    </row>
    <row r="149" spans="1:11" ht="51" x14ac:dyDescent="0.2">
      <c r="A149" s="104" t="s">
        <v>1255</v>
      </c>
      <c r="B149" s="110">
        <v>42</v>
      </c>
      <c r="C149" s="110">
        <v>42</v>
      </c>
      <c r="D149" s="110">
        <v>1</v>
      </c>
      <c r="E149" s="110" t="s">
        <v>1411</v>
      </c>
      <c r="F149" s="104" t="s">
        <v>1412</v>
      </c>
      <c r="G149" s="301" t="s">
        <v>1279</v>
      </c>
      <c r="H149" s="301" t="s">
        <v>1280</v>
      </c>
      <c r="I149" s="301"/>
      <c r="J149" s="301"/>
      <c r="K149" s="147" t="s">
        <v>2776</v>
      </c>
    </row>
    <row r="150" spans="1:11" x14ac:dyDescent="0.2">
      <c r="A150" s="104" t="s">
        <v>1256</v>
      </c>
      <c r="B150" s="110">
        <v>43</v>
      </c>
      <c r="C150" s="110">
        <v>50</v>
      </c>
      <c r="D150" s="110">
        <v>8</v>
      </c>
      <c r="E150" s="110" t="s">
        <v>1411</v>
      </c>
      <c r="F150" s="104" t="s">
        <v>1412</v>
      </c>
      <c r="G150" s="301"/>
      <c r="H150" s="301" t="s">
        <v>1281</v>
      </c>
      <c r="I150" s="301"/>
      <c r="J150" s="301"/>
      <c r="K150" s="95" t="s">
        <v>1293</v>
      </c>
    </row>
    <row r="151" spans="1:11" x14ac:dyDescent="0.2">
      <c r="A151" s="104" t="s">
        <v>1257</v>
      </c>
      <c r="B151" s="110">
        <v>51</v>
      </c>
      <c r="C151" s="110">
        <v>65</v>
      </c>
      <c r="D151" s="110">
        <v>13</v>
      </c>
      <c r="E151" s="110">
        <v>2</v>
      </c>
      <c r="F151" s="104" t="s">
        <v>1412</v>
      </c>
      <c r="G151" s="301"/>
      <c r="H151" s="301" t="s">
        <v>1282</v>
      </c>
      <c r="I151" s="301"/>
      <c r="J151" s="301"/>
      <c r="K151" s="95" t="s">
        <v>1294</v>
      </c>
    </row>
    <row r="152" spans="1:11" ht="51" x14ac:dyDescent="0.2">
      <c r="A152" s="104" t="s">
        <v>1258</v>
      </c>
      <c r="B152" s="110">
        <v>66</v>
      </c>
      <c r="C152" s="110">
        <v>66</v>
      </c>
      <c r="D152" s="110">
        <v>1</v>
      </c>
      <c r="E152" s="110" t="s">
        <v>1411</v>
      </c>
      <c r="F152" s="104" t="s">
        <v>1419</v>
      </c>
      <c r="G152" s="301" t="s">
        <v>1283</v>
      </c>
      <c r="H152" s="301" t="s">
        <v>1284</v>
      </c>
      <c r="I152" s="301"/>
      <c r="J152" s="301"/>
      <c r="K152" s="147" t="s">
        <v>2714</v>
      </c>
    </row>
    <row r="153" spans="1:11" x14ac:dyDescent="0.2">
      <c r="A153" s="104" t="s">
        <v>1259</v>
      </c>
      <c r="B153" s="110">
        <v>67</v>
      </c>
      <c r="C153" s="110">
        <v>74</v>
      </c>
      <c r="D153" s="110">
        <v>8</v>
      </c>
      <c r="E153" s="110" t="s">
        <v>1411</v>
      </c>
      <c r="F153" s="104" t="s">
        <v>1412</v>
      </c>
      <c r="G153" s="301"/>
      <c r="H153" s="301" t="s">
        <v>1285</v>
      </c>
      <c r="I153" s="301"/>
      <c r="J153" s="301"/>
      <c r="K153" s="95" t="s">
        <v>1285</v>
      </c>
    </row>
    <row r="154" spans="1:11" x14ac:dyDescent="0.2">
      <c r="A154" s="104" t="s">
        <v>1260</v>
      </c>
      <c r="B154" s="110">
        <v>75</v>
      </c>
      <c r="C154" s="110">
        <v>89</v>
      </c>
      <c r="D154" s="110">
        <v>13</v>
      </c>
      <c r="E154" s="110">
        <v>2</v>
      </c>
      <c r="F154" s="104" t="s">
        <v>1412</v>
      </c>
      <c r="G154" s="301"/>
      <c r="H154" s="301" t="s">
        <v>1283</v>
      </c>
      <c r="I154" s="301"/>
      <c r="J154" s="301"/>
      <c r="K154" s="95" t="s">
        <v>1286</v>
      </c>
    </row>
    <row r="155" spans="1:11" x14ac:dyDescent="0.2">
      <c r="A155" s="104" t="s">
        <v>1261</v>
      </c>
      <c r="B155" s="110">
        <v>90</v>
      </c>
      <c r="C155" s="110">
        <v>99</v>
      </c>
      <c r="D155" s="110">
        <v>10</v>
      </c>
      <c r="E155" s="110" t="s">
        <v>1411</v>
      </c>
      <c r="F155" s="104" t="s">
        <v>1419</v>
      </c>
      <c r="G155" s="301" t="s">
        <v>2752</v>
      </c>
      <c r="H155" s="301"/>
      <c r="I155" s="301"/>
      <c r="J155" s="301"/>
      <c r="K155" s="95" t="s">
        <v>2753</v>
      </c>
    </row>
    <row r="156" spans="1:11" ht="38.25" x14ac:dyDescent="0.2">
      <c r="A156" s="104" t="s">
        <v>1262</v>
      </c>
      <c r="B156" s="110">
        <v>100</v>
      </c>
      <c r="C156" s="110">
        <v>139</v>
      </c>
      <c r="D156" s="110">
        <v>40</v>
      </c>
      <c r="E156" s="110" t="s">
        <v>1411</v>
      </c>
      <c r="F156" s="104" t="s">
        <v>1419</v>
      </c>
      <c r="G156" s="301" t="s">
        <v>1287</v>
      </c>
      <c r="H156" s="301"/>
      <c r="I156" s="301"/>
      <c r="J156" s="301"/>
      <c r="K156" s="147" t="s">
        <v>1703</v>
      </c>
    </row>
    <row r="157" spans="1:11" ht="38.25" x14ac:dyDescent="0.2">
      <c r="A157" s="104" t="s">
        <v>1263</v>
      </c>
      <c r="B157" s="110">
        <v>140</v>
      </c>
      <c r="C157" s="110">
        <v>179</v>
      </c>
      <c r="D157" s="110">
        <v>40</v>
      </c>
      <c r="E157" s="110" t="s">
        <v>1411</v>
      </c>
      <c r="F157" s="104" t="s">
        <v>1419</v>
      </c>
      <c r="G157" s="301" t="s">
        <v>1288</v>
      </c>
      <c r="H157" s="301"/>
      <c r="I157" s="301"/>
      <c r="J157" s="301"/>
      <c r="K157" s="147" t="s">
        <v>1702</v>
      </c>
    </row>
    <row r="158" spans="1:11" x14ac:dyDescent="0.2">
      <c r="A158" s="104" t="s">
        <v>1264</v>
      </c>
      <c r="B158" s="110">
        <v>180</v>
      </c>
      <c r="C158" s="110">
        <v>199</v>
      </c>
      <c r="D158" s="110">
        <v>20</v>
      </c>
      <c r="E158" s="110" t="s">
        <v>1411</v>
      </c>
      <c r="F158" s="104" t="s">
        <v>1419</v>
      </c>
      <c r="G158" s="301" t="s">
        <v>1418</v>
      </c>
      <c r="H158" s="301"/>
      <c r="I158" s="301"/>
      <c r="J158" s="301"/>
      <c r="K158" s="95" t="s">
        <v>1524</v>
      </c>
    </row>
    <row r="159" spans="1:11" x14ac:dyDescent="0.2">
      <c r="A159" s="104" t="s">
        <v>1265</v>
      </c>
      <c r="B159" s="110">
        <v>200</v>
      </c>
      <c r="C159" s="110">
        <v>207</v>
      </c>
      <c r="D159" s="110">
        <v>8</v>
      </c>
      <c r="E159" s="110" t="s">
        <v>1411</v>
      </c>
      <c r="F159" s="104" t="s">
        <v>1412</v>
      </c>
      <c r="G159" s="301" t="s">
        <v>2754</v>
      </c>
      <c r="H159" s="301"/>
      <c r="I159" s="301"/>
      <c r="J159" s="301"/>
      <c r="K159" s="95" t="s">
        <v>2755</v>
      </c>
    </row>
    <row r="160" spans="1:11" x14ac:dyDescent="0.2">
      <c r="A160" s="104" t="s">
        <v>1266</v>
      </c>
      <c r="B160" s="110">
        <v>208</v>
      </c>
      <c r="C160" s="110">
        <v>210</v>
      </c>
      <c r="D160" s="110">
        <v>3</v>
      </c>
      <c r="E160" s="110" t="s">
        <v>1411</v>
      </c>
      <c r="F160" s="104" t="s">
        <v>1412</v>
      </c>
      <c r="G160" s="301" t="s">
        <v>1289</v>
      </c>
      <c r="H160" s="301" t="s">
        <v>38</v>
      </c>
      <c r="I160" s="301"/>
      <c r="J160" s="301"/>
      <c r="K160" s="95" t="s">
        <v>1295</v>
      </c>
    </row>
    <row r="161" spans="1:11" x14ac:dyDescent="0.2">
      <c r="A161" s="104" t="s">
        <v>1267</v>
      </c>
      <c r="B161" s="110">
        <v>211</v>
      </c>
      <c r="C161" s="110">
        <v>215</v>
      </c>
      <c r="D161" s="110">
        <v>5</v>
      </c>
      <c r="E161" s="110" t="s">
        <v>1411</v>
      </c>
      <c r="F161" s="104" t="s">
        <v>1412</v>
      </c>
      <c r="G161" s="301"/>
      <c r="H161" s="301" t="s">
        <v>1429</v>
      </c>
      <c r="I161" s="301"/>
      <c r="J161" s="301"/>
      <c r="K161" s="95" t="s">
        <v>1296</v>
      </c>
    </row>
    <row r="162" spans="1:11" x14ac:dyDescent="0.2">
      <c r="A162" s="104" t="s">
        <v>1268</v>
      </c>
      <c r="B162" s="110">
        <v>216</v>
      </c>
      <c r="C162" s="110">
        <v>216</v>
      </c>
      <c r="D162" s="110">
        <v>1</v>
      </c>
      <c r="E162" s="110" t="s">
        <v>1411</v>
      </c>
      <c r="F162" s="104" t="s">
        <v>1419</v>
      </c>
      <c r="G162" s="301"/>
      <c r="H162" s="301"/>
      <c r="I162" s="301"/>
      <c r="J162" s="301"/>
      <c r="K162" s="95" t="s">
        <v>239</v>
      </c>
    </row>
    <row r="163" spans="1:11" x14ac:dyDescent="0.2">
      <c r="A163" s="104" t="s">
        <v>1269</v>
      </c>
      <c r="B163" s="110">
        <v>217</v>
      </c>
      <c r="C163" s="110">
        <v>228</v>
      </c>
      <c r="D163" s="110">
        <v>12</v>
      </c>
      <c r="E163" s="110" t="s">
        <v>1411</v>
      </c>
      <c r="F163" s="104" t="s">
        <v>1412</v>
      </c>
      <c r="G163" s="301"/>
      <c r="H163" s="301" t="s">
        <v>1290</v>
      </c>
      <c r="I163" s="301"/>
      <c r="J163" s="301"/>
      <c r="K163" s="95" t="s">
        <v>1297</v>
      </c>
    </row>
    <row r="164" spans="1:11" x14ac:dyDescent="0.2">
      <c r="A164" s="104" t="s">
        <v>1270</v>
      </c>
      <c r="B164" s="110">
        <v>229</v>
      </c>
      <c r="C164" s="110">
        <v>229</v>
      </c>
      <c r="D164" s="110">
        <v>1</v>
      </c>
      <c r="E164" s="110" t="s">
        <v>1411</v>
      </c>
      <c r="F164" s="104" t="s">
        <v>1419</v>
      </c>
      <c r="G164" s="301"/>
      <c r="H164" s="301"/>
      <c r="I164" s="301"/>
      <c r="J164" s="301"/>
      <c r="K164" s="95" t="s">
        <v>1298</v>
      </c>
    </row>
    <row r="165" spans="1:11" x14ac:dyDescent="0.2">
      <c r="A165" s="104" t="s">
        <v>1271</v>
      </c>
      <c r="B165" s="110">
        <v>230</v>
      </c>
      <c r="C165" s="110">
        <v>230</v>
      </c>
      <c r="D165" s="110">
        <v>1</v>
      </c>
      <c r="E165" s="110" t="s">
        <v>1411</v>
      </c>
      <c r="F165" s="104" t="s">
        <v>1419</v>
      </c>
      <c r="G165" s="301"/>
      <c r="H165" s="301" t="s">
        <v>143</v>
      </c>
      <c r="I165" s="301"/>
      <c r="J165" s="301"/>
      <c r="K165" s="95" t="s">
        <v>1299</v>
      </c>
    </row>
    <row r="166" spans="1:11" x14ac:dyDescent="0.2">
      <c r="A166" s="104" t="s">
        <v>1272</v>
      </c>
      <c r="B166" s="110">
        <v>231</v>
      </c>
      <c r="C166" s="110">
        <v>231</v>
      </c>
      <c r="D166" s="110">
        <v>1</v>
      </c>
      <c r="E166" s="110" t="s">
        <v>1411</v>
      </c>
      <c r="F166" s="104" t="s">
        <v>1412</v>
      </c>
      <c r="G166" s="301" t="s">
        <v>1291</v>
      </c>
      <c r="H166" s="301"/>
      <c r="I166" s="301"/>
      <c r="J166" s="301"/>
      <c r="K166" s="95" t="s">
        <v>1300</v>
      </c>
    </row>
    <row r="167" spans="1:11" x14ac:dyDescent="0.2">
      <c r="A167" s="104" t="s">
        <v>1273</v>
      </c>
      <c r="B167" s="110">
        <v>232</v>
      </c>
      <c r="C167" s="110">
        <v>240</v>
      </c>
      <c r="D167" s="110">
        <v>9</v>
      </c>
      <c r="E167" s="110" t="s">
        <v>1411</v>
      </c>
      <c r="F167" s="104" t="s">
        <v>1419</v>
      </c>
      <c r="G167" s="301" t="s">
        <v>1418</v>
      </c>
      <c r="H167" s="301"/>
      <c r="I167" s="301"/>
      <c r="J167" s="301"/>
      <c r="K167" s="95" t="s">
        <v>1524</v>
      </c>
    </row>
    <row r="169" spans="1:11" x14ac:dyDescent="0.2">
      <c r="A169" s="308" t="s">
        <v>1301</v>
      </c>
      <c r="B169" s="308"/>
      <c r="C169" s="308"/>
      <c r="D169" s="308"/>
      <c r="E169" s="308"/>
      <c r="F169" s="308"/>
      <c r="G169" s="308"/>
      <c r="H169" s="308"/>
      <c r="I169" s="308"/>
      <c r="J169" s="308"/>
      <c r="K169" s="308"/>
    </row>
    <row r="170" spans="1:11" x14ac:dyDescent="0.2">
      <c r="A170" s="309" t="s">
        <v>112</v>
      </c>
      <c r="B170" s="310" t="s">
        <v>1403</v>
      </c>
      <c r="C170" s="310"/>
      <c r="D170" s="106" t="s">
        <v>1404</v>
      </c>
      <c r="E170" s="106" t="s">
        <v>1404</v>
      </c>
      <c r="F170" s="309" t="s">
        <v>1381</v>
      </c>
      <c r="G170" s="311" t="s">
        <v>1466</v>
      </c>
      <c r="H170" s="311"/>
      <c r="I170" s="311"/>
      <c r="J170" s="311"/>
      <c r="K170" s="311"/>
    </row>
    <row r="171" spans="1:11" x14ac:dyDescent="0.2">
      <c r="A171" s="309"/>
      <c r="B171" s="106" t="s">
        <v>1405</v>
      </c>
      <c r="C171" s="106" t="s">
        <v>1406</v>
      </c>
      <c r="D171" s="106" t="s">
        <v>1407</v>
      </c>
      <c r="E171" s="106" t="s">
        <v>1408</v>
      </c>
      <c r="F171" s="309"/>
      <c r="G171" s="311"/>
      <c r="H171" s="311"/>
      <c r="I171" s="311"/>
      <c r="J171" s="311"/>
      <c r="K171" s="311"/>
    </row>
    <row r="172" spans="1:11" x14ac:dyDescent="0.2">
      <c r="A172" s="104" t="s">
        <v>1302</v>
      </c>
      <c r="B172" s="110">
        <v>1</v>
      </c>
      <c r="C172" s="110">
        <v>3</v>
      </c>
      <c r="D172" s="110">
        <v>3</v>
      </c>
      <c r="E172" s="110" t="s">
        <v>249</v>
      </c>
      <c r="F172" s="104" t="s">
        <v>1412</v>
      </c>
      <c r="G172" s="301" t="s">
        <v>1410</v>
      </c>
      <c r="H172" s="301" t="s">
        <v>38</v>
      </c>
      <c r="I172" s="301"/>
      <c r="J172" s="301"/>
      <c r="K172" s="95" t="s">
        <v>4</v>
      </c>
    </row>
    <row r="173" spans="1:11" ht="51" x14ac:dyDescent="0.2">
      <c r="A173" s="104" t="s">
        <v>1303</v>
      </c>
      <c r="B173" s="110">
        <v>4</v>
      </c>
      <c r="C173" s="110">
        <v>7</v>
      </c>
      <c r="D173" s="110">
        <v>4</v>
      </c>
      <c r="E173" s="110" t="s">
        <v>1411</v>
      </c>
      <c r="F173" s="104" t="s">
        <v>1412</v>
      </c>
      <c r="G173" s="301"/>
      <c r="H173" s="301" t="s">
        <v>1414</v>
      </c>
      <c r="I173" s="301"/>
      <c r="J173" s="301"/>
      <c r="K173" s="95" t="s">
        <v>1520</v>
      </c>
    </row>
    <row r="174" spans="1:11" x14ac:dyDescent="0.2">
      <c r="A174" s="104" t="s">
        <v>1304</v>
      </c>
      <c r="B174" s="110">
        <v>8</v>
      </c>
      <c r="C174" s="110">
        <v>8</v>
      </c>
      <c r="D174" s="110">
        <v>1</v>
      </c>
      <c r="E174" s="110" t="s">
        <v>1411</v>
      </c>
      <c r="F174" s="104" t="s">
        <v>1412</v>
      </c>
      <c r="G174" s="301"/>
      <c r="H174" s="301" t="s">
        <v>1416</v>
      </c>
      <c r="I174" s="301"/>
      <c r="J174" s="301"/>
      <c r="K174" s="95" t="s">
        <v>230</v>
      </c>
    </row>
    <row r="175" spans="1:11" ht="51" x14ac:dyDescent="0.2">
      <c r="A175" s="104" t="s">
        <v>1305</v>
      </c>
      <c r="B175" s="110">
        <v>9</v>
      </c>
      <c r="C175" s="110">
        <v>13</v>
      </c>
      <c r="D175" s="110">
        <v>5</v>
      </c>
      <c r="E175" s="110" t="s">
        <v>1411</v>
      </c>
      <c r="F175" s="104" t="s">
        <v>1412</v>
      </c>
      <c r="G175" s="301" t="s">
        <v>1507</v>
      </c>
      <c r="H175" s="301" t="s">
        <v>1571</v>
      </c>
      <c r="I175" s="301"/>
      <c r="J175" s="301"/>
      <c r="K175" s="95" t="s">
        <v>231</v>
      </c>
    </row>
    <row r="176" spans="1:11" x14ac:dyDescent="0.2">
      <c r="A176" s="104" t="s">
        <v>1306</v>
      </c>
      <c r="B176" s="110">
        <v>14</v>
      </c>
      <c r="C176" s="110">
        <v>14</v>
      </c>
      <c r="D176" s="110">
        <v>1</v>
      </c>
      <c r="E176" s="110" t="s">
        <v>1411</v>
      </c>
      <c r="F176" s="104" t="s">
        <v>1419</v>
      </c>
      <c r="G176" s="301"/>
      <c r="H176" s="301" t="s">
        <v>1572</v>
      </c>
      <c r="I176" s="301"/>
      <c r="J176" s="301"/>
      <c r="K176" s="95" t="s">
        <v>1329</v>
      </c>
    </row>
    <row r="177" spans="1:11" x14ac:dyDescent="0.2">
      <c r="A177" s="104" t="s">
        <v>1307</v>
      </c>
      <c r="B177" s="110">
        <v>15</v>
      </c>
      <c r="C177" s="110">
        <v>15</v>
      </c>
      <c r="D177" s="110">
        <v>1</v>
      </c>
      <c r="E177" s="110" t="s">
        <v>1411</v>
      </c>
      <c r="F177" s="104" t="s">
        <v>1419</v>
      </c>
      <c r="G177" s="301"/>
      <c r="H177" s="301" t="s">
        <v>1418</v>
      </c>
      <c r="I177" s="301"/>
      <c r="J177" s="301"/>
      <c r="K177" s="95" t="s">
        <v>1524</v>
      </c>
    </row>
    <row r="178" spans="1:11" ht="63.75" x14ac:dyDescent="0.2">
      <c r="A178" s="104" t="s">
        <v>1308</v>
      </c>
      <c r="B178" s="110">
        <v>16</v>
      </c>
      <c r="C178" s="110">
        <v>17</v>
      </c>
      <c r="D178" s="110">
        <v>2</v>
      </c>
      <c r="E178" s="110" t="s">
        <v>1411</v>
      </c>
      <c r="F178" s="104" t="s">
        <v>1412</v>
      </c>
      <c r="G178" s="301"/>
      <c r="H178" s="301" t="s">
        <v>1573</v>
      </c>
      <c r="I178" s="301"/>
      <c r="J178" s="301"/>
      <c r="K178" s="121" t="s">
        <v>2712</v>
      </c>
    </row>
    <row r="179" spans="1:11" x14ac:dyDescent="0.2">
      <c r="A179" s="347" t="s">
        <v>1309</v>
      </c>
      <c r="B179" s="350"/>
      <c r="C179" s="350"/>
      <c r="D179" s="350"/>
      <c r="E179" s="350"/>
      <c r="F179" s="350"/>
      <c r="G179" s="350"/>
      <c r="H179" s="350"/>
      <c r="I179" s="350"/>
      <c r="J179" s="350"/>
      <c r="K179" s="351"/>
    </row>
    <row r="180" spans="1:11" ht="38.25" x14ac:dyDescent="0.2">
      <c r="A180" s="104" t="s">
        <v>1310</v>
      </c>
      <c r="B180" s="110">
        <v>18</v>
      </c>
      <c r="C180" s="110">
        <v>18</v>
      </c>
      <c r="D180" s="110">
        <v>1</v>
      </c>
      <c r="E180" s="110" t="s">
        <v>1411</v>
      </c>
      <c r="F180" s="104" t="s">
        <v>1412</v>
      </c>
      <c r="G180" s="301" t="s">
        <v>1318</v>
      </c>
      <c r="H180" s="301"/>
      <c r="I180" s="301"/>
      <c r="J180" s="301"/>
      <c r="K180" s="95" t="s">
        <v>1330</v>
      </c>
    </row>
    <row r="181" spans="1:11" x14ac:dyDescent="0.2">
      <c r="A181" s="104" t="s">
        <v>1311</v>
      </c>
      <c r="B181" s="110">
        <v>19</v>
      </c>
      <c r="C181" s="110">
        <v>20</v>
      </c>
      <c r="D181" s="110">
        <v>2</v>
      </c>
      <c r="E181" s="110" t="s">
        <v>1411</v>
      </c>
      <c r="F181" s="104" t="s">
        <v>1412</v>
      </c>
      <c r="G181" s="301" t="s">
        <v>1319</v>
      </c>
      <c r="H181" s="301"/>
      <c r="I181" s="301"/>
      <c r="J181" s="301"/>
      <c r="K181" s="95" t="s">
        <v>1320</v>
      </c>
    </row>
    <row r="182" spans="1:11" ht="25.5" x14ac:dyDescent="0.2">
      <c r="A182" s="104" t="s">
        <v>1312</v>
      </c>
      <c r="B182" s="110">
        <v>21</v>
      </c>
      <c r="C182" s="110">
        <v>160</v>
      </c>
      <c r="D182" s="110">
        <v>140</v>
      </c>
      <c r="E182" s="110" t="s">
        <v>1411</v>
      </c>
      <c r="F182" s="104" t="s">
        <v>1419</v>
      </c>
      <c r="G182" s="301" t="s">
        <v>1321</v>
      </c>
      <c r="H182" s="301"/>
      <c r="I182" s="301"/>
      <c r="J182" s="301"/>
      <c r="K182" s="147" t="s">
        <v>2770</v>
      </c>
    </row>
    <row r="183" spans="1:11" x14ac:dyDescent="0.2">
      <c r="A183" s="104" t="s">
        <v>1313</v>
      </c>
      <c r="B183" s="110">
        <v>161</v>
      </c>
      <c r="C183" s="110">
        <v>162</v>
      </c>
      <c r="D183" s="110">
        <v>2</v>
      </c>
      <c r="E183" s="110" t="s">
        <v>1411</v>
      </c>
      <c r="F183" s="104" t="s">
        <v>1412</v>
      </c>
      <c r="G183" s="301" t="s">
        <v>1322</v>
      </c>
      <c r="H183" s="301"/>
      <c r="I183" s="301"/>
      <c r="J183" s="301"/>
      <c r="K183" s="95" t="s">
        <v>1323</v>
      </c>
    </row>
    <row r="184" spans="1:11" x14ac:dyDescent="0.2">
      <c r="A184" s="104" t="s">
        <v>1314</v>
      </c>
      <c r="B184" s="110">
        <v>163</v>
      </c>
      <c r="C184" s="110">
        <v>240</v>
      </c>
      <c r="D184" s="110">
        <v>78</v>
      </c>
      <c r="E184" s="110" t="s">
        <v>1411</v>
      </c>
      <c r="F184" s="104" t="s">
        <v>1419</v>
      </c>
      <c r="G184" s="301" t="s">
        <v>1418</v>
      </c>
      <c r="H184" s="301"/>
      <c r="I184" s="301"/>
      <c r="J184" s="301"/>
      <c r="K184" s="95" t="s">
        <v>1509</v>
      </c>
    </row>
    <row r="185" spans="1:11" x14ac:dyDescent="0.2">
      <c r="A185" s="347" t="s">
        <v>1315</v>
      </c>
      <c r="B185" s="348"/>
      <c r="C185" s="348"/>
      <c r="D185" s="348"/>
      <c r="E185" s="348"/>
      <c r="F185" s="348"/>
      <c r="G185" s="348"/>
      <c r="H185" s="348"/>
      <c r="I185" s="348"/>
      <c r="J185" s="348"/>
      <c r="K185" s="349"/>
    </row>
    <row r="186" spans="1:11" ht="25.5" x14ac:dyDescent="0.2">
      <c r="A186" s="104" t="s">
        <v>1310</v>
      </c>
      <c r="B186" s="110">
        <v>18</v>
      </c>
      <c r="C186" s="110">
        <v>18</v>
      </c>
      <c r="D186" s="110">
        <v>1</v>
      </c>
      <c r="E186" s="110" t="s">
        <v>1411</v>
      </c>
      <c r="F186" s="104" t="s">
        <v>1412</v>
      </c>
      <c r="G186" s="301" t="s">
        <v>1318</v>
      </c>
      <c r="H186" s="301"/>
      <c r="I186" s="301"/>
      <c r="J186" s="301"/>
      <c r="K186" s="95" t="s">
        <v>1331</v>
      </c>
    </row>
    <row r="187" spans="1:11" ht="38.25" x14ac:dyDescent="0.2">
      <c r="A187" s="104" t="s">
        <v>1311</v>
      </c>
      <c r="B187" s="110">
        <v>19</v>
      </c>
      <c r="C187" s="110">
        <v>58</v>
      </c>
      <c r="D187" s="110">
        <v>40</v>
      </c>
      <c r="E187" s="110" t="s">
        <v>1411</v>
      </c>
      <c r="F187" s="104" t="s">
        <v>1419</v>
      </c>
      <c r="G187" s="301" t="s">
        <v>1324</v>
      </c>
      <c r="H187" s="301"/>
      <c r="I187" s="301"/>
      <c r="J187" s="301"/>
      <c r="K187" s="147" t="s">
        <v>1704</v>
      </c>
    </row>
    <row r="188" spans="1:11" ht="38.25" x14ac:dyDescent="0.2">
      <c r="A188" s="104" t="s">
        <v>1312</v>
      </c>
      <c r="B188" s="110">
        <v>59</v>
      </c>
      <c r="C188" s="110">
        <v>98</v>
      </c>
      <c r="D188" s="110">
        <v>40</v>
      </c>
      <c r="E188" s="110" t="s">
        <v>1411</v>
      </c>
      <c r="F188" s="104" t="s">
        <v>1419</v>
      </c>
      <c r="G188" s="301" t="s">
        <v>1325</v>
      </c>
      <c r="H188" s="301"/>
      <c r="I188" s="301"/>
      <c r="J188" s="301"/>
      <c r="K188" s="147" t="s">
        <v>1705</v>
      </c>
    </row>
    <row r="189" spans="1:11" ht="38.25" x14ac:dyDescent="0.2">
      <c r="A189" s="104" t="s">
        <v>1313</v>
      </c>
      <c r="B189" s="110">
        <v>99</v>
      </c>
      <c r="C189" s="110">
        <v>138</v>
      </c>
      <c r="D189" s="110">
        <v>40</v>
      </c>
      <c r="E189" s="110" t="s">
        <v>1411</v>
      </c>
      <c r="F189" s="104" t="s">
        <v>1419</v>
      </c>
      <c r="G189" s="301" t="s">
        <v>1326</v>
      </c>
      <c r="H189" s="301"/>
      <c r="I189" s="301"/>
      <c r="J189" s="301"/>
      <c r="K189" s="147" t="s">
        <v>1706</v>
      </c>
    </row>
    <row r="190" spans="1:11" ht="38.25" x14ac:dyDescent="0.2">
      <c r="A190" s="104" t="s">
        <v>1314</v>
      </c>
      <c r="B190" s="110">
        <v>139</v>
      </c>
      <c r="C190" s="110">
        <v>178</v>
      </c>
      <c r="D190" s="110">
        <v>40</v>
      </c>
      <c r="E190" s="110" t="s">
        <v>1411</v>
      </c>
      <c r="F190" s="104" t="s">
        <v>1419</v>
      </c>
      <c r="G190" s="301" t="s">
        <v>1327</v>
      </c>
      <c r="H190" s="301"/>
      <c r="I190" s="301"/>
      <c r="J190" s="301"/>
      <c r="K190" s="147" t="s">
        <v>1707</v>
      </c>
    </row>
    <row r="191" spans="1:11" ht="38.25" x14ac:dyDescent="0.2">
      <c r="A191" s="104" t="s">
        <v>1316</v>
      </c>
      <c r="B191" s="110">
        <v>179</v>
      </c>
      <c r="C191" s="110">
        <v>218</v>
      </c>
      <c r="D191" s="110">
        <v>40</v>
      </c>
      <c r="E191" s="110" t="s">
        <v>1411</v>
      </c>
      <c r="F191" s="104" t="s">
        <v>1419</v>
      </c>
      <c r="G191" s="301" t="s">
        <v>1328</v>
      </c>
      <c r="H191" s="301"/>
      <c r="I191" s="301"/>
      <c r="J191" s="301"/>
      <c r="K191" s="147" t="s">
        <v>1708</v>
      </c>
    </row>
    <row r="192" spans="1:11" x14ac:dyDescent="0.2">
      <c r="A192" s="104" t="s">
        <v>1317</v>
      </c>
      <c r="B192" s="110">
        <v>219</v>
      </c>
      <c r="C192" s="110">
        <v>240</v>
      </c>
      <c r="D192" s="110">
        <v>22</v>
      </c>
      <c r="E192" s="110" t="s">
        <v>1411</v>
      </c>
      <c r="F192" s="104" t="s">
        <v>1419</v>
      </c>
      <c r="G192" s="301" t="s">
        <v>1418</v>
      </c>
      <c r="H192" s="301"/>
      <c r="I192" s="301"/>
      <c r="J192" s="301"/>
      <c r="K192" s="95" t="s">
        <v>1524</v>
      </c>
    </row>
    <row r="194" spans="1:11" x14ac:dyDescent="0.2">
      <c r="A194" s="308" t="s">
        <v>1332</v>
      </c>
      <c r="B194" s="308"/>
      <c r="C194" s="308"/>
      <c r="D194" s="308"/>
      <c r="E194" s="308"/>
      <c r="F194" s="308"/>
      <c r="G194" s="308"/>
      <c r="H194" s="308"/>
      <c r="I194" s="308"/>
      <c r="J194" s="308"/>
      <c r="K194" s="308"/>
    </row>
    <row r="195" spans="1:11" x14ac:dyDescent="0.2">
      <c r="A195" s="309" t="s">
        <v>112</v>
      </c>
      <c r="B195" s="310" t="s">
        <v>1403</v>
      </c>
      <c r="C195" s="310"/>
      <c r="D195" s="106" t="s">
        <v>1404</v>
      </c>
      <c r="E195" s="106" t="s">
        <v>1404</v>
      </c>
      <c r="F195" s="309" t="s">
        <v>1381</v>
      </c>
      <c r="G195" s="311" t="s">
        <v>1466</v>
      </c>
      <c r="H195" s="311"/>
      <c r="I195" s="311"/>
      <c r="J195" s="311"/>
      <c r="K195" s="311"/>
    </row>
    <row r="196" spans="1:11" x14ac:dyDescent="0.2">
      <c r="A196" s="318"/>
      <c r="B196" s="109" t="s">
        <v>1405</v>
      </c>
      <c r="C196" s="109" t="s">
        <v>1406</v>
      </c>
      <c r="D196" s="109" t="s">
        <v>1407</v>
      </c>
      <c r="E196" s="109" t="s">
        <v>1408</v>
      </c>
      <c r="F196" s="309"/>
      <c r="G196" s="346"/>
      <c r="H196" s="346"/>
      <c r="I196" s="346"/>
      <c r="J196" s="346"/>
      <c r="K196" s="346"/>
    </row>
    <row r="197" spans="1:11" x14ac:dyDescent="0.2">
      <c r="A197" s="104" t="s">
        <v>1333</v>
      </c>
      <c r="B197" s="110">
        <v>1</v>
      </c>
      <c r="C197" s="110">
        <v>3</v>
      </c>
      <c r="D197" s="110">
        <v>3</v>
      </c>
      <c r="E197" s="110" t="s">
        <v>1411</v>
      </c>
      <c r="F197" s="104" t="s">
        <v>1412</v>
      </c>
      <c r="G197" s="301" t="s">
        <v>1410</v>
      </c>
      <c r="H197" s="301" t="s">
        <v>38</v>
      </c>
      <c r="I197" s="301"/>
      <c r="J197" s="301"/>
      <c r="K197" s="95" t="s">
        <v>4</v>
      </c>
    </row>
    <row r="198" spans="1:11" ht="51" x14ac:dyDescent="0.2">
      <c r="A198" s="104" t="s">
        <v>1334</v>
      </c>
      <c r="B198" s="110">
        <v>4</v>
      </c>
      <c r="C198" s="110">
        <v>7</v>
      </c>
      <c r="D198" s="110">
        <v>4</v>
      </c>
      <c r="E198" s="110" t="s">
        <v>1411</v>
      </c>
      <c r="F198" s="104" t="s">
        <v>1412</v>
      </c>
      <c r="G198" s="301"/>
      <c r="H198" s="301" t="s">
        <v>1414</v>
      </c>
      <c r="I198" s="301"/>
      <c r="J198" s="301"/>
      <c r="K198" s="95" t="s">
        <v>1520</v>
      </c>
    </row>
    <row r="199" spans="1:11" x14ac:dyDescent="0.2">
      <c r="A199" s="104" t="s">
        <v>1335</v>
      </c>
      <c r="B199" s="110">
        <v>8</v>
      </c>
      <c r="C199" s="110">
        <v>8</v>
      </c>
      <c r="D199" s="110">
        <v>1</v>
      </c>
      <c r="E199" s="110" t="s">
        <v>1411</v>
      </c>
      <c r="F199" s="104" t="s">
        <v>1412</v>
      </c>
      <c r="G199" s="301"/>
      <c r="H199" s="301" t="s">
        <v>1416</v>
      </c>
      <c r="I199" s="301"/>
      <c r="J199" s="301"/>
      <c r="K199" s="95" t="s">
        <v>1359</v>
      </c>
    </row>
    <row r="200" spans="1:11" x14ac:dyDescent="0.2">
      <c r="A200" s="104" t="s">
        <v>1336</v>
      </c>
      <c r="B200" s="110">
        <v>9</v>
      </c>
      <c r="C200" s="110">
        <v>17</v>
      </c>
      <c r="D200" s="110">
        <v>9</v>
      </c>
      <c r="E200" s="110" t="s">
        <v>1411</v>
      </c>
      <c r="F200" s="104" t="s">
        <v>1419</v>
      </c>
      <c r="G200" s="301" t="s">
        <v>1418</v>
      </c>
      <c r="H200" s="301"/>
      <c r="I200" s="301"/>
      <c r="J200" s="301"/>
      <c r="K200" s="95" t="s">
        <v>1524</v>
      </c>
    </row>
    <row r="201" spans="1:11" x14ac:dyDescent="0.2">
      <c r="A201" s="104" t="s">
        <v>1337</v>
      </c>
      <c r="B201" s="110">
        <v>18</v>
      </c>
      <c r="C201" s="110">
        <v>23</v>
      </c>
      <c r="D201" s="110">
        <v>6</v>
      </c>
      <c r="E201" s="110" t="s">
        <v>1411</v>
      </c>
      <c r="F201" s="104" t="s">
        <v>1412</v>
      </c>
      <c r="G201" s="301" t="s">
        <v>1349</v>
      </c>
      <c r="H201" s="301"/>
      <c r="I201" s="301"/>
      <c r="J201" s="301"/>
      <c r="K201" s="95" t="s">
        <v>1350</v>
      </c>
    </row>
    <row r="202" spans="1:11" x14ac:dyDescent="0.2">
      <c r="A202" s="104" t="s">
        <v>1338</v>
      </c>
      <c r="B202" s="110">
        <v>24</v>
      </c>
      <c r="C202" s="110">
        <v>29</v>
      </c>
      <c r="D202" s="110">
        <v>6</v>
      </c>
      <c r="E202" s="110" t="s">
        <v>1411</v>
      </c>
      <c r="F202" s="104" t="s">
        <v>1412</v>
      </c>
      <c r="G202" s="301" t="s">
        <v>1351</v>
      </c>
      <c r="H202" s="301"/>
      <c r="I202" s="301"/>
      <c r="J202" s="301"/>
      <c r="K202" s="95" t="s">
        <v>1352</v>
      </c>
    </row>
    <row r="203" spans="1:11" x14ac:dyDescent="0.2">
      <c r="A203" s="104" t="s">
        <v>1339</v>
      </c>
      <c r="B203" s="110">
        <v>30</v>
      </c>
      <c r="C203" s="110">
        <v>46</v>
      </c>
      <c r="D203" s="110">
        <v>15</v>
      </c>
      <c r="E203" s="110">
        <v>2</v>
      </c>
      <c r="F203" s="104" t="s">
        <v>1412</v>
      </c>
      <c r="G203" s="301"/>
      <c r="H203" s="301"/>
      <c r="I203" s="301"/>
      <c r="J203" s="301"/>
      <c r="K203" s="95" t="s">
        <v>1353</v>
      </c>
    </row>
    <row r="204" spans="1:11" x14ac:dyDescent="0.2">
      <c r="A204" s="104" t="s">
        <v>1340</v>
      </c>
      <c r="B204" s="110">
        <v>47</v>
      </c>
      <c r="C204" s="110">
        <v>52</v>
      </c>
      <c r="D204" s="110">
        <v>6</v>
      </c>
      <c r="E204" s="110" t="s">
        <v>1411</v>
      </c>
      <c r="F204" s="104" t="s">
        <v>1412</v>
      </c>
      <c r="G204" s="301" t="s">
        <v>1354</v>
      </c>
      <c r="H204" s="301"/>
      <c r="I204" s="301"/>
      <c r="J204" s="301"/>
      <c r="K204" s="95" t="s">
        <v>1352</v>
      </c>
    </row>
    <row r="205" spans="1:11" x14ac:dyDescent="0.2">
      <c r="A205" s="104" t="s">
        <v>1341</v>
      </c>
      <c r="B205" s="110">
        <v>53</v>
      </c>
      <c r="C205" s="110">
        <v>69</v>
      </c>
      <c r="D205" s="110">
        <v>15</v>
      </c>
      <c r="E205" s="110">
        <v>2</v>
      </c>
      <c r="F205" s="104" t="s">
        <v>1412</v>
      </c>
      <c r="G205" s="301"/>
      <c r="H205" s="301"/>
      <c r="I205" s="301"/>
      <c r="J205" s="301"/>
      <c r="K205" s="95" t="s">
        <v>1353</v>
      </c>
    </row>
    <row r="206" spans="1:11" x14ac:dyDescent="0.2">
      <c r="A206" s="104" t="s">
        <v>1342</v>
      </c>
      <c r="B206" s="110">
        <v>70</v>
      </c>
      <c r="C206" s="110">
        <v>75</v>
      </c>
      <c r="D206" s="110">
        <v>6</v>
      </c>
      <c r="E206" s="110" t="s">
        <v>1411</v>
      </c>
      <c r="F206" s="104" t="s">
        <v>1412</v>
      </c>
      <c r="G206" s="301" t="s">
        <v>1355</v>
      </c>
      <c r="H206" s="301"/>
      <c r="I206" s="301"/>
      <c r="J206" s="301"/>
      <c r="K206" s="95" t="s">
        <v>1352</v>
      </c>
    </row>
    <row r="207" spans="1:11" x14ac:dyDescent="0.2">
      <c r="A207" s="104" t="s">
        <v>1343</v>
      </c>
      <c r="B207" s="110">
        <v>76</v>
      </c>
      <c r="C207" s="110">
        <v>92</v>
      </c>
      <c r="D207" s="110">
        <v>15</v>
      </c>
      <c r="E207" s="110">
        <v>2</v>
      </c>
      <c r="F207" s="104" t="s">
        <v>1412</v>
      </c>
      <c r="G207" s="301"/>
      <c r="H207" s="301"/>
      <c r="I207" s="301"/>
      <c r="J207" s="301"/>
      <c r="K207" s="95" t="s">
        <v>1356</v>
      </c>
    </row>
    <row r="208" spans="1:11" x14ac:dyDescent="0.2">
      <c r="A208" s="104" t="s">
        <v>1344</v>
      </c>
      <c r="B208" s="110">
        <v>93</v>
      </c>
      <c r="C208" s="110">
        <v>98</v>
      </c>
      <c r="D208" s="110">
        <v>6</v>
      </c>
      <c r="E208" s="110" t="s">
        <v>1411</v>
      </c>
      <c r="F208" s="104" t="s">
        <v>1348</v>
      </c>
      <c r="G208" s="301" t="s">
        <v>1357</v>
      </c>
      <c r="H208" s="301"/>
      <c r="I208" s="301"/>
      <c r="J208" s="301"/>
      <c r="K208" s="95" t="s">
        <v>1352</v>
      </c>
    </row>
    <row r="209" spans="1:11" x14ac:dyDescent="0.2">
      <c r="A209" s="104" t="s">
        <v>1345</v>
      </c>
      <c r="B209" s="110">
        <v>99</v>
      </c>
      <c r="C209" s="110">
        <v>115</v>
      </c>
      <c r="D209" s="110">
        <v>15</v>
      </c>
      <c r="E209" s="110">
        <v>2</v>
      </c>
      <c r="F209" s="104" t="s">
        <v>1412</v>
      </c>
      <c r="G209" s="301"/>
      <c r="H209" s="301"/>
      <c r="I209" s="301"/>
      <c r="J209" s="301"/>
      <c r="K209" s="95" t="s">
        <v>1353</v>
      </c>
    </row>
    <row r="210" spans="1:11" x14ac:dyDescent="0.2">
      <c r="A210" s="104" t="s">
        <v>1346</v>
      </c>
      <c r="B210" s="110">
        <v>116</v>
      </c>
      <c r="C210" s="110">
        <v>123</v>
      </c>
      <c r="D210" s="110">
        <v>8</v>
      </c>
      <c r="E210" s="110" t="s">
        <v>1411</v>
      </c>
      <c r="F210" s="104" t="s">
        <v>1419</v>
      </c>
      <c r="G210" s="301" t="s">
        <v>1358</v>
      </c>
      <c r="H210" s="301"/>
      <c r="I210" s="301"/>
      <c r="J210" s="301"/>
      <c r="K210" s="95" t="s">
        <v>1360</v>
      </c>
    </row>
    <row r="211" spans="1:11" x14ac:dyDescent="0.2">
      <c r="A211" s="104" t="s">
        <v>1347</v>
      </c>
      <c r="B211" s="110">
        <v>124</v>
      </c>
      <c r="C211" s="110">
        <v>240</v>
      </c>
      <c r="D211" s="110">
        <v>117</v>
      </c>
      <c r="E211" s="110" t="s">
        <v>1411</v>
      </c>
      <c r="F211" s="104" t="s">
        <v>1419</v>
      </c>
      <c r="G211" s="301" t="s">
        <v>1418</v>
      </c>
      <c r="H211" s="301"/>
      <c r="I211" s="301"/>
      <c r="J211" s="301"/>
      <c r="K211" s="95" t="s">
        <v>1524</v>
      </c>
    </row>
    <row r="213" spans="1:11" x14ac:dyDescent="0.2">
      <c r="A213" s="308" t="s">
        <v>1361</v>
      </c>
      <c r="B213" s="308"/>
      <c r="C213" s="308"/>
      <c r="D213" s="308"/>
      <c r="E213" s="308"/>
      <c r="F213" s="308"/>
      <c r="G213" s="308"/>
      <c r="H213" s="308"/>
      <c r="I213" s="308"/>
      <c r="J213" s="308"/>
      <c r="K213" s="308"/>
    </row>
    <row r="214" spans="1:11" x14ac:dyDescent="0.2">
      <c r="A214" s="309" t="s">
        <v>112</v>
      </c>
      <c r="B214" s="310" t="s">
        <v>1403</v>
      </c>
      <c r="C214" s="310"/>
      <c r="D214" s="106" t="s">
        <v>1404</v>
      </c>
      <c r="E214" s="106" t="s">
        <v>1404</v>
      </c>
      <c r="F214" s="309" t="s">
        <v>1381</v>
      </c>
      <c r="G214" s="311" t="s">
        <v>1466</v>
      </c>
      <c r="H214" s="311"/>
      <c r="I214" s="311"/>
      <c r="J214" s="311"/>
      <c r="K214" s="311"/>
    </row>
    <row r="215" spans="1:11" x14ac:dyDescent="0.2">
      <c r="A215" s="318"/>
      <c r="B215" s="109" t="s">
        <v>1405</v>
      </c>
      <c r="C215" s="109" t="s">
        <v>1406</v>
      </c>
      <c r="D215" s="109" t="s">
        <v>1407</v>
      </c>
      <c r="E215" s="109" t="s">
        <v>1408</v>
      </c>
      <c r="F215" s="309"/>
      <c r="G215" s="346"/>
      <c r="H215" s="346"/>
      <c r="I215" s="346"/>
      <c r="J215" s="346"/>
      <c r="K215" s="346"/>
    </row>
    <row r="216" spans="1:11" x14ac:dyDescent="0.2">
      <c r="A216" s="104" t="s">
        <v>1362</v>
      </c>
      <c r="B216" s="110">
        <v>1</v>
      </c>
      <c r="C216" s="110">
        <v>3</v>
      </c>
      <c r="D216" s="110">
        <v>3</v>
      </c>
      <c r="E216" s="110" t="s">
        <v>1411</v>
      </c>
      <c r="F216" s="104" t="s">
        <v>1412</v>
      </c>
      <c r="G216" s="301" t="s">
        <v>1410</v>
      </c>
      <c r="H216" s="301"/>
      <c r="I216" s="301" t="s">
        <v>38</v>
      </c>
      <c r="J216" s="301"/>
      <c r="K216" s="95" t="s">
        <v>4</v>
      </c>
    </row>
    <row r="217" spans="1:11" x14ac:dyDescent="0.2">
      <c r="A217" s="104" t="s">
        <v>1363</v>
      </c>
      <c r="B217" s="110">
        <v>4</v>
      </c>
      <c r="C217" s="110">
        <v>7</v>
      </c>
      <c r="D217" s="110">
        <v>4</v>
      </c>
      <c r="E217" s="110" t="s">
        <v>1411</v>
      </c>
      <c r="F217" s="104" t="s">
        <v>1412</v>
      </c>
      <c r="G217" s="301"/>
      <c r="H217" s="301"/>
      <c r="I217" s="301" t="s">
        <v>1414</v>
      </c>
      <c r="J217" s="301"/>
      <c r="K217" s="147" t="s">
        <v>1723</v>
      </c>
    </row>
    <row r="218" spans="1:11" x14ac:dyDescent="0.2">
      <c r="A218" s="104" t="s">
        <v>1364</v>
      </c>
      <c r="B218" s="110">
        <v>8</v>
      </c>
      <c r="C218" s="110">
        <v>8</v>
      </c>
      <c r="D218" s="110">
        <v>1</v>
      </c>
      <c r="E218" s="110" t="s">
        <v>1411</v>
      </c>
      <c r="F218" s="104" t="s">
        <v>1412</v>
      </c>
      <c r="G218" s="301"/>
      <c r="H218" s="301"/>
      <c r="I218" s="301" t="s">
        <v>1416</v>
      </c>
      <c r="J218" s="301"/>
      <c r="K218" s="95" t="s">
        <v>1376</v>
      </c>
    </row>
    <row r="219" spans="1:11" x14ac:dyDescent="0.2">
      <c r="A219" s="104" t="s">
        <v>1365</v>
      </c>
      <c r="B219" s="110">
        <v>9</v>
      </c>
      <c r="C219" s="110">
        <v>17</v>
      </c>
      <c r="D219" s="110">
        <v>9</v>
      </c>
      <c r="E219" s="110" t="s">
        <v>1411</v>
      </c>
      <c r="F219" s="104" t="s">
        <v>1419</v>
      </c>
      <c r="G219" s="301" t="s">
        <v>1418</v>
      </c>
      <c r="H219" s="301"/>
      <c r="I219" s="301"/>
      <c r="J219" s="301"/>
      <c r="K219" s="95" t="s">
        <v>1524</v>
      </c>
    </row>
    <row r="220" spans="1:11" x14ac:dyDescent="0.2">
      <c r="A220" s="104" t="s">
        <v>1366</v>
      </c>
      <c r="B220" s="110">
        <v>18</v>
      </c>
      <c r="C220" s="110">
        <v>23</v>
      </c>
      <c r="D220" s="110">
        <v>6</v>
      </c>
      <c r="E220" s="110" t="s">
        <v>1411</v>
      </c>
      <c r="F220" s="104" t="s">
        <v>1412</v>
      </c>
      <c r="G220" s="301" t="s">
        <v>1370</v>
      </c>
      <c r="H220" s="301"/>
      <c r="I220" s="301" t="s">
        <v>1371</v>
      </c>
      <c r="J220" s="301"/>
      <c r="K220" s="95" t="s">
        <v>1372</v>
      </c>
    </row>
    <row r="221" spans="1:11" x14ac:dyDescent="0.2">
      <c r="A221" s="104" t="s">
        <v>1367</v>
      </c>
      <c r="B221" s="110">
        <v>24</v>
      </c>
      <c r="C221" s="110">
        <v>29</v>
      </c>
      <c r="D221" s="110">
        <v>6</v>
      </c>
      <c r="E221" s="110" t="s">
        <v>1411</v>
      </c>
      <c r="F221" s="104" t="s">
        <v>1412</v>
      </c>
      <c r="G221" s="301"/>
      <c r="H221" s="301"/>
      <c r="I221" s="301" t="s">
        <v>1373</v>
      </c>
      <c r="J221" s="301"/>
      <c r="K221" s="95" t="s">
        <v>1374</v>
      </c>
    </row>
    <row r="222" spans="1:11" x14ac:dyDescent="0.2">
      <c r="A222" s="104" t="s">
        <v>1368</v>
      </c>
      <c r="B222" s="110">
        <v>30</v>
      </c>
      <c r="C222" s="110">
        <v>35</v>
      </c>
      <c r="D222" s="110">
        <v>6</v>
      </c>
      <c r="E222" s="110" t="s">
        <v>1411</v>
      </c>
      <c r="F222" s="104" t="s">
        <v>1412</v>
      </c>
      <c r="G222" s="301"/>
      <c r="H222" s="301"/>
      <c r="I222" s="301" t="s">
        <v>1375</v>
      </c>
      <c r="J222" s="301"/>
      <c r="K222" s="95" t="s">
        <v>1377</v>
      </c>
    </row>
    <row r="223" spans="1:11" x14ac:dyDescent="0.2">
      <c r="A223" s="104" t="s">
        <v>1369</v>
      </c>
      <c r="B223" s="110">
        <v>36</v>
      </c>
      <c r="C223" s="110">
        <v>240</v>
      </c>
      <c r="D223" s="110">
        <v>205</v>
      </c>
      <c r="E223" s="110" t="s">
        <v>1411</v>
      </c>
      <c r="F223" s="104" t="s">
        <v>1419</v>
      </c>
      <c r="G223" s="301" t="s">
        <v>1418</v>
      </c>
      <c r="H223" s="301"/>
      <c r="I223" s="301"/>
      <c r="J223" s="301"/>
      <c r="K223" s="95" t="s">
        <v>1524</v>
      </c>
    </row>
  </sheetData>
  <sheetProtection password="C44C" sheet="1"/>
  <mergeCells count="244">
    <mergeCell ref="B195:C195"/>
    <mergeCell ref="F195:F196"/>
    <mergeCell ref="G195:K196"/>
    <mergeCell ref="G189:J189"/>
    <mergeCell ref="G190:J190"/>
    <mergeCell ref="G191:J191"/>
    <mergeCell ref="G192:J192"/>
    <mergeCell ref="H161:J162"/>
    <mergeCell ref="M1:M2"/>
    <mergeCell ref="A185:K185"/>
    <mergeCell ref="A195:A196"/>
    <mergeCell ref="G182:J182"/>
    <mergeCell ref="G183:J183"/>
    <mergeCell ref="A179:K179"/>
    <mergeCell ref="A194:K194"/>
    <mergeCell ref="G184:J184"/>
    <mergeCell ref="G180:J180"/>
    <mergeCell ref="G181:J181"/>
    <mergeCell ref="H163:J164"/>
    <mergeCell ref="H165:J165"/>
    <mergeCell ref="A170:A171"/>
    <mergeCell ref="B170:C170"/>
    <mergeCell ref="F170:F171"/>
    <mergeCell ref="G170:K171"/>
    <mergeCell ref="G118:J126"/>
    <mergeCell ref="G127:J128"/>
    <mergeCell ref="F214:F215"/>
    <mergeCell ref="G214:K215"/>
    <mergeCell ref="G197:G199"/>
    <mergeCell ref="H197:J197"/>
    <mergeCell ref="H198:J198"/>
    <mergeCell ref="G208:J209"/>
    <mergeCell ref="H177:J177"/>
    <mergeCell ref="H178:J178"/>
    <mergeCell ref="G166:J166"/>
    <mergeCell ref="G167:J167"/>
    <mergeCell ref="G146:G148"/>
    <mergeCell ref="H146:J146"/>
    <mergeCell ref="H147:J147"/>
    <mergeCell ref="H148:J148"/>
    <mergeCell ref="H152:J152"/>
    <mergeCell ref="H153:J153"/>
    <mergeCell ref="H154:J154"/>
    <mergeCell ref="G149:G151"/>
    <mergeCell ref="H149:J149"/>
    <mergeCell ref="H150:J150"/>
    <mergeCell ref="H151:J151"/>
    <mergeCell ref="G152:G154"/>
    <mergeCell ref="I222:J222"/>
    <mergeCell ref="H199:J199"/>
    <mergeCell ref="G200:J200"/>
    <mergeCell ref="G201:J201"/>
    <mergeCell ref="G202:J203"/>
    <mergeCell ref="G204:J205"/>
    <mergeCell ref="G206:J207"/>
    <mergeCell ref="G216:H218"/>
    <mergeCell ref="G210:J210"/>
    <mergeCell ref="G211:J211"/>
    <mergeCell ref="I216:J216"/>
    <mergeCell ref="I217:J217"/>
    <mergeCell ref="I218:J218"/>
    <mergeCell ref="A213:K213"/>
    <mergeCell ref="A214:A215"/>
    <mergeCell ref="B214:C214"/>
    <mergeCell ref="G223:J223"/>
    <mergeCell ref="B31:K31"/>
    <mergeCell ref="B32:K32"/>
    <mergeCell ref="B33:K33"/>
    <mergeCell ref="G219:J219"/>
    <mergeCell ref="G220:H222"/>
    <mergeCell ref="I220:J220"/>
    <mergeCell ref="I221:J221"/>
    <mergeCell ref="G186:J186"/>
    <mergeCell ref="G187:J187"/>
    <mergeCell ref="G188:J188"/>
    <mergeCell ref="G172:G174"/>
    <mergeCell ref="H172:J172"/>
    <mergeCell ref="H173:J173"/>
    <mergeCell ref="H174:J174"/>
    <mergeCell ref="G175:G178"/>
    <mergeCell ref="H175:J175"/>
    <mergeCell ref="H176:J176"/>
    <mergeCell ref="G157:J157"/>
    <mergeCell ref="G158:J158"/>
    <mergeCell ref="G159:J159"/>
    <mergeCell ref="G160:G165"/>
    <mergeCell ref="H160:J160"/>
    <mergeCell ref="A169:K169"/>
    <mergeCell ref="G155:J155"/>
    <mergeCell ref="G156:J156"/>
    <mergeCell ref="G139:G141"/>
    <mergeCell ref="H139:J139"/>
    <mergeCell ref="H140:J140"/>
    <mergeCell ref="H141:J141"/>
    <mergeCell ref="G142:G145"/>
    <mergeCell ref="H142:J142"/>
    <mergeCell ref="H143:J143"/>
    <mergeCell ref="H144:J144"/>
    <mergeCell ref="H145:J145"/>
    <mergeCell ref="G129:J129"/>
    <mergeCell ref="G130:J130"/>
    <mergeCell ref="G131:J131"/>
    <mergeCell ref="G132:J132"/>
    <mergeCell ref="A136:K136"/>
    <mergeCell ref="A137:A138"/>
    <mergeCell ref="B137:C137"/>
    <mergeCell ref="F137:F138"/>
    <mergeCell ref="G137:K138"/>
    <mergeCell ref="G4:K5"/>
    <mergeCell ref="A1:K1"/>
    <mergeCell ref="A3:K3"/>
    <mergeCell ref="B4:C4"/>
    <mergeCell ref="F4:F5"/>
    <mergeCell ref="A4:A5"/>
    <mergeCell ref="D4:D5"/>
    <mergeCell ref="E4:E5"/>
    <mergeCell ref="G114:J117"/>
    <mergeCell ref="A108:K108"/>
    <mergeCell ref="A109:A110"/>
    <mergeCell ref="B109:C109"/>
    <mergeCell ref="F109:F110"/>
    <mergeCell ref="G109:K110"/>
    <mergeCell ref="G111:J113"/>
    <mergeCell ref="G20:J20"/>
    <mergeCell ref="H8:J8"/>
    <mergeCell ref="G9:J9"/>
    <mergeCell ref="H10:H11"/>
    <mergeCell ref="I10:J10"/>
    <mergeCell ref="I11:J11"/>
    <mergeCell ref="G10:G18"/>
    <mergeCell ref="H18:J18"/>
    <mergeCell ref="H13:H17"/>
    <mergeCell ref="I13:I14"/>
    <mergeCell ref="G28:J28"/>
    <mergeCell ref="E26:E27"/>
    <mergeCell ref="F26:F27"/>
    <mergeCell ref="G6:G8"/>
    <mergeCell ref="H6:J6"/>
    <mergeCell ref="H7:J7"/>
    <mergeCell ref="G19:J19"/>
    <mergeCell ref="I15:I16"/>
    <mergeCell ref="I17:J17"/>
    <mergeCell ref="H12:J12"/>
    <mergeCell ref="H24:J24"/>
    <mergeCell ref="H25:J25"/>
    <mergeCell ref="F36:F37"/>
    <mergeCell ref="G38:G40"/>
    <mergeCell ref="H38:J38"/>
    <mergeCell ref="H39:J39"/>
    <mergeCell ref="H40:J40"/>
    <mergeCell ref="A26:A27"/>
    <mergeCell ref="H26:J27"/>
    <mergeCell ref="K26:K27"/>
    <mergeCell ref="B26:B27"/>
    <mergeCell ref="C26:C27"/>
    <mergeCell ref="A36:A37"/>
    <mergeCell ref="B36:C36"/>
    <mergeCell ref="G21:G27"/>
    <mergeCell ref="D26:D27"/>
    <mergeCell ref="G29:J29"/>
    <mergeCell ref="G30:J30"/>
    <mergeCell ref="H21:J21"/>
    <mergeCell ref="A35:K35"/>
    <mergeCell ref="H22:J22"/>
    <mergeCell ref="H23:J23"/>
    <mergeCell ref="I47:J47"/>
    <mergeCell ref="H48:J48"/>
    <mergeCell ref="H46:H47"/>
    <mergeCell ref="H54:J54"/>
    <mergeCell ref="G45:J45"/>
    <mergeCell ref="G36:K37"/>
    <mergeCell ref="G41:G44"/>
    <mergeCell ref="H41:J41"/>
    <mergeCell ref="H42:J42"/>
    <mergeCell ref="H43:J43"/>
    <mergeCell ref="H44:J44"/>
    <mergeCell ref="H49:H53"/>
    <mergeCell ref="I49:I50"/>
    <mergeCell ref="I51:I52"/>
    <mergeCell ref="I53:J53"/>
    <mergeCell ref="G46:G54"/>
    <mergeCell ref="I46:J46"/>
    <mergeCell ref="G55:J55"/>
    <mergeCell ref="G56:J56"/>
    <mergeCell ref="G68:G71"/>
    <mergeCell ref="H68:J68"/>
    <mergeCell ref="H69:J69"/>
    <mergeCell ref="H70:J70"/>
    <mergeCell ref="H71:J71"/>
    <mergeCell ref="G65:G67"/>
    <mergeCell ref="H65:J65"/>
    <mergeCell ref="H66:J66"/>
    <mergeCell ref="H67:J67"/>
    <mergeCell ref="G72:G76"/>
    <mergeCell ref="H72:H73"/>
    <mergeCell ref="I72:J72"/>
    <mergeCell ref="I73:J73"/>
    <mergeCell ref="H74:H75"/>
    <mergeCell ref="I74:J74"/>
    <mergeCell ref="I75:J75"/>
    <mergeCell ref="H76:J76"/>
    <mergeCell ref="G57:H58"/>
    <mergeCell ref="I57:J57"/>
    <mergeCell ref="I58:J58"/>
    <mergeCell ref="A62:K62"/>
    <mergeCell ref="A63:A64"/>
    <mergeCell ref="B63:C63"/>
    <mergeCell ref="F63:F64"/>
    <mergeCell ref="G63:K64"/>
    <mergeCell ref="G59:J59"/>
    <mergeCell ref="G60:J60"/>
    <mergeCell ref="G83:J83"/>
    <mergeCell ref="G84:J84"/>
    <mergeCell ref="G85:J85"/>
    <mergeCell ref="G86:J86"/>
    <mergeCell ref="G77:J77"/>
    <mergeCell ref="H78:J78"/>
    <mergeCell ref="H79:J79"/>
    <mergeCell ref="H80:J80"/>
    <mergeCell ref="G78:G82"/>
    <mergeCell ref="H81:J81"/>
    <mergeCell ref="H82:J82"/>
    <mergeCell ref="G91:G93"/>
    <mergeCell ref="H91:J91"/>
    <mergeCell ref="H92:J92"/>
    <mergeCell ref="H93:J93"/>
    <mergeCell ref="G87:J87"/>
    <mergeCell ref="G88:J88"/>
    <mergeCell ref="G89:J89"/>
    <mergeCell ref="G90:J90"/>
    <mergeCell ref="G105:J105"/>
    <mergeCell ref="G106:J106"/>
    <mergeCell ref="G101:J101"/>
    <mergeCell ref="G102:J102"/>
    <mergeCell ref="G103:J103"/>
    <mergeCell ref="G104:J104"/>
    <mergeCell ref="G98:J98"/>
    <mergeCell ref="G99:J99"/>
    <mergeCell ref="G100:J100"/>
    <mergeCell ref="G94:G96"/>
    <mergeCell ref="H94:J94"/>
    <mergeCell ref="H95:J95"/>
    <mergeCell ref="H96:J96"/>
    <mergeCell ref="G97:J97"/>
  </mergeCells>
  <phoneticPr fontId="2" type="noConversion"/>
  <printOptions horizontalCentered="1" verticalCentered="1"/>
  <pageMargins left="3.937007874015748E-2" right="3.937007874015748E-2" top="0.19685039370078741" bottom="0.19685039370078741" header="3.937007874015748E-2" footer="3.937007874015748E-2"/>
  <pageSetup paperSize="9" scale="78" fitToHeight="10" orientation="landscape" r:id="rId1"/>
  <rowBreaks count="3" manualBreakCount="3">
    <brk id="33" max="10" man="1"/>
    <brk id="34" max="10" man="1"/>
    <brk id="60" max="10"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09"/>
  <dimension ref="A1:M180"/>
  <sheetViews>
    <sheetView showGridLines="0" zoomScale="85" zoomScaleNormal="85" zoomScaleSheetLayoutView="100" workbookViewId="0">
      <selection activeCell="N72" sqref="N72"/>
    </sheetView>
  </sheetViews>
  <sheetFormatPr defaultRowHeight="12.75" x14ac:dyDescent="0.2"/>
  <cols>
    <col min="1" max="1" width="7.28515625" style="102" bestFit="1" customWidth="1"/>
    <col min="2" max="2" width="5" style="105" bestFit="1" customWidth="1"/>
    <col min="3" max="3" width="5.28515625" style="105" bestFit="1" customWidth="1"/>
    <col min="4" max="4" width="8.140625" style="105" bestFit="1" customWidth="1"/>
    <col min="5" max="5" width="8.7109375" style="105" bestFit="1" customWidth="1"/>
    <col min="6" max="6" width="7.28515625" style="102" bestFit="1" customWidth="1"/>
    <col min="7" max="7" width="22.85546875" style="102" bestFit="1" customWidth="1"/>
    <col min="8" max="8" width="15.7109375" style="102" bestFit="1" customWidth="1"/>
    <col min="9" max="10" width="8.28515625" style="102" bestFit="1" customWidth="1"/>
    <col min="11" max="11" width="91.140625" style="102" customWidth="1"/>
  </cols>
  <sheetData>
    <row r="1" spans="1:13" x14ac:dyDescent="0.2">
      <c r="A1" s="325" t="s">
        <v>1713</v>
      </c>
      <c r="B1" s="325"/>
      <c r="C1" s="325"/>
      <c r="D1" s="325"/>
      <c r="E1" s="325"/>
      <c r="F1" s="325"/>
      <c r="G1" s="325"/>
      <c r="H1" s="325"/>
      <c r="I1" s="325"/>
      <c r="J1" s="325"/>
      <c r="K1" s="325"/>
      <c r="M1" s="295" t="s">
        <v>1236</v>
      </c>
    </row>
    <row r="2" spans="1:13" x14ac:dyDescent="0.2">
      <c r="A2" s="101"/>
      <c r="G2" s="101"/>
      <c r="H2" s="101"/>
      <c r="I2" s="101"/>
      <c r="J2" s="101"/>
      <c r="K2" s="101"/>
      <c r="M2" s="295"/>
    </row>
    <row r="3" spans="1:13" x14ac:dyDescent="0.2">
      <c r="A3" s="308" t="s">
        <v>1461</v>
      </c>
      <c r="B3" s="308"/>
      <c r="C3" s="308"/>
      <c r="D3" s="308"/>
      <c r="E3" s="308"/>
      <c r="F3" s="308"/>
      <c r="G3" s="308"/>
      <c r="H3" s="308"/>
      <c r="I3" s="308"/>
      <c r="J3" s="308"/>
      <c r="K3" s="308"/>
    </row>
    <row r="4" spans="1:13" x14ac:dyDescent="0.2">
      <c r="A4" s="309" t="s">
        <v>112</v>
      </c>
      <c r="B4" s="310" t="s">
        <v>1403</v>
      </c>
      <c r="C4" s="310"/>
      <c r="D4" s="326" t="s">
        <v>1379</v>
      </c>
      <c r="E4" s="326" t="s">
        <v>1380</v>
      </c>
      <c r="F4" s="309" t="s">
        <v>1381</v>
      </c>
      <c r="G4" s="313" t="s">
        <v>1466</v>
      </c>
      <c r="H4" s="313"/>
      <c r="I4" s="313"/>
      <c r="J4" s="313"/>
      <c r="K4" s="314"/>
    </row>
    <row r="5" spans="1:13" x14ac:dyDescent="0.2">
      <c r="A5" s="309"/>
      <c r="B5" s="106" t="s">
        <v>1405</v>
      </c>
      <c r="C5" s="106" t="s">
        <v>1406</v>
      </c>
      <c r="D5" s="327"/>
      <c r="E5" s="327"/>
      <c r="F5" s="309"/>
      <c r="G5" s="323"/>
      <c r="H5" s="323"/>
      <c r="I5" s="323"/>
      <c r="J5" s="323"/>
      <c r="K5" s="324"/>
    </row>
    <row r="6" spans="1:13" x14ac:dyDescent="0.2">
      <c r="A6" s="97" t="s">
        <v>1409</v>
      </c>
      <c r="B6" s="107">
        <v>1</v>
      </c>
      <c r="C6" s="107">
        <v>3</v>
      </c>
      <c r="D6" s="107">
        <v>3</v>
      </c>
      <c r="E6" s="107" t="s">
        <v>1411</v>
      </c>
      <c r="F6" s="97" t="s">
        <v>1412</v>
      </c>
      <c r="G6" s="312" t="s">
        <v>1473</v>
      </c>
      <c r="H6" s="312" t="s">
        <v>38</v>
      </c>
      <c r="I6" s="312"/>
      <c r="J6" s="312"/>
      <c r="K6" s="97" t="s">
        <v>1468</v>
      </c>
    </row>
    <row r="7" spans="1:13" x14ac:dyDescent="0.2">
      <c r="A7" s="97" t="s">
        <v>1413</v>
      </c>
      <c r="B7" s="107">
        <v>4</v>
      </c>
      <c r="C7" s="107">
        <v>7</v>
      </c>
      <c r="D7" s="107">
        <v>4</v>
      </c>
      <c r="E7" s="107" t="s">
        <v>1411</v>
      </c>
      <c r="F7" s="97" t="s">
        <v>1412</v>
      </c>
      <c r="G7" s="312"/>
      <c r="H7" s="312" t="s">
        <v>1414</v>
      </c>
      <c r="I7" s="312"/>
      <c r="J7" s="312"/>
      <c r="K7" s="97" t="s">
        <v>1469</v>
      </c>
    </row>
    <row r="8" spans="1:13" x14ac:dyDescent="0.2">
      <c r="A8" s="97" t="s">
        <v>1415</v>
      </c>
      <c r="B8" s="107">
        <v>8</v>
      </c>
      <c r="C8" s="107">
        <v>8</v>
      </c>
      <c r="D8" s="107">
        <v>1</v>
      </c>
      <c r="E8" s="107" t="s">
        <v>1411</v>
      </c>
      <c r="F8" s="97" t="s">
        <v>1412</v>
      </c>
      <c r="G8" s="312"/>
      <c r="H8" s="312" t="s">
        <v>1416</v>
      </c>
      <c r="I8" s="312"/>
      <c r="J8" s="312"/>
      <c r="K8" s="97" t="s">
        <v>1470</v>
      </c>
    </row>
    <row r="9" spans="1:13" x14ac:dyDescent="0.2">
      <c r="A9" s="97" t="s">
        <v>1417</v>
      </c>
      <c r="B9" s="107">
        <v>9</v>
      </c>
      <c r="C9" s="107">
        <v>17</v>
      </c>
      <c r="D9" s="107">
        <v>9</v>
      </c>
      <c r="E9" s="107" t="s">
        <v>1411</v>
      </c>
      <c r="F9" s="97" t="s">
        <v>1419</v>
      </c>
      <c r="G9" s="312" t="s">
        <v>1418</v>
      </c>
      <c r="H9" s="312"/>
      <c r="I9" s="312"/>
      <c r="J9" s="312"/>
      <c r="K9" s="97" t="s">
        <v>1471</v>
      </c>
    </row>
    <row r="10" spans="1:13" ht="38.25" x14ac:dyDescent="0.2">
      <c r="A10" s="97" t="s">
        <v>1420</v>
      </c>
      <c r="B10" s="107">
        <v>18</v>
      </c>
      <c r="C10" s="107">
        <v>18</v>
      </c>
      <c r="D10" s="107">
        <v>1</v>
      </c>
      <c r="E10" s="107" t="s">
        <v>1411</v>
      </c>
      <c r="F10" s="97" t="s">
        <v>1412</v>
      </c>
      <c r="G10" s="319" t="s">
        <v>1474</v>
      </c>
      <c r="H10" s="312" t="s">
        <v>1421</v>
      </c>
      <c r="I10" s="312" t="s">
        <v>1422</v>
      </c>
      <c r="J10" s="312"/>
      <c r="K10" s="97" t="s">
        <v>1467</v>
      </c>
    </row>
    <row r="11" spans="1:13" x14ac:dyDescent="0.2">
      <c r="A11" s="97" t="s">
        <v>1423</v>
      </c>
      <c r="B11" s="107">
        <v>19</v>
      </c>
      <c r="C11" s="107">
        <v>32</v>
      </c>
      <c r="D11" s="107">
        <v>14</v>
      </c>
      <c r="E11" s="107" t="s">
        <v>1411</v>
      </c>
      <c r="F11" s="97" t="s">
        <v>1412</v>
      </c>
      <c r="G11" s="320"/>
      <c r="H11" s="312"/>
      <c r="I11" s="312" t="s">
        <v>1424</v>
      </c>
      <c r="J11" s="312"/>
      <c r="K11" s="97" t="s">
        <v>1425</v>
      </c>
    </row>
    <row r="12" spans="1:13" x14ac:dyDescent="0.2">
      <c r="A12" s="97" t="s">
        <v>1426</v>
      </c>
      <c r="B12" s="107">
        <v>33</v>
      </c>
      <c r="C12" s="107">
        <v>52</v>
      </c>
      <c r="D12" s="107">
        <v>20</v>
      </c>
      <c r="E12" s="107" t="s">
        <v>1411</v>
      </c>
      <c r="F12" s="97" t="s">
        <v>1419</v>
      </c>
      <c r="G12" s="320"/>
      <c r="H12" s="312" t="s">
        <v>1427</v>
      </c>
      <c r="I12" s="312"/>
      <c r="J12" s="312"/>
      <c r="K12" s="97" t="s">
        <v>1472</v>
      </c>
    </row>
    <row r="13" spans="1:13" x14ac:dyDescent="0.2">
      <c r="A13" s="97" t="s">
        <v>1428</v>
      </c>
      <c r="B13" s="107">
        <v>53</v>
      </c>
      <c r="C13" s="107">
        <v>57</v>
      </c>
      <c r="D13" s="107">
        <v>5</v>
      </c>
      <c r="E13" s="107" t="s">
        <v>1411</v>
      </c>
      <c r="F13" s="97" t="s">
        <v>1412</v>
      </c>
      <c r="G13" s="320"/>
      <c r="H13" s="312" t="s">
        <v>1475</v>
      </c>
      <c r="I13" s="312" t="s">
        <v>1429</v>
      </c>
      <c r="J13" s="97" t="s">
        <v>1430</v>
      </c>
      <c r="K13" s="97" t="s">
        <v>184</v>
      </c>
    </row>
    <row r="14" spans="1:13" x14ac:dyDescent="0.2">
      <c r="A14" s="97" t="s">
        <v>1431</v>
      </c>
      <c r="B14" s="107">
        <v>58</v>
      </c>
      <c r="C14" s="107">
        <v>58</v>
      </c>
      <c r="D14" s="107">
        <v>1</v>
      </c>
      <c r="E14" s="107" t="s">
        <v>1411</v>
      </c>
      <c r="F14" s="97" t="s">
        <v>1419</v>
      </c>
      <c r="G14" s="320"/>
      <c r="H14" s="312"/>
      <c r="I14" s="312"/>
      <c r="J14" s="97" t="s">
        <v>143</v>
      </c>
      <c r="K14" s="97" t="s">
        <v>185</v>
      </c>
    </row>
    <row r="15" spans="1:13" s="100" customFormat="1" x14ac:dyDescent="0.2">
      <c r="A15" s="99" t="s">
        <v>1432</v>
      </c>
      <c r="B15" s="108">
        <v>59</v>
      </c>
      <c r="C15" s="108">
        <v>70</v>
      </c>
      <c r="D15" s="108">
        <v>12</v>
      </c>
      <c r="E15" s="108" t="s">
        <v>1411</v>
      </c>
      <c r="F15" s="99" t="s">
        <v>1412</v>
      </c>
      <c r="G15" s="320"/>
      <c r="H15" s="312"/>
      <c r="I15" s="322" t="s">
        <v>1433</v>
      </c>
      <c r="J15" s="99" t="s">
        <v>1424</v>
      </c>
      <c r="K15" s="99" t="s">
        <v>195</v>
      </c>
    </row>
    <row r="16" spans="1:13" s="100" customFormat="1" x14ac:dyDescent="0.2">
      <c r="A16" s="99" t="s">
        <v>1434</v>
      </c>
      <c r="B16" s="108">
        <v>71</v>
      </c>
      <c r="C16" s="108">
        <v>71</v>
      </c>
      <c r="D16" s="108">
        <v>1</v>
      </c>
      <c r="E16" s="108" t="s">
        <v>1411</v>
      </c>
      <c r="F16" s="99" t="s">
        <v>1419</v>
      </c>
      <c r="G16" s="320"/>
      <c r="H16" s="312"/>
      <c r="I16" s="322"/>
      <c r="J16" s="99" t="s">
        <v>143</v>
      </c>
      <c r="K16" s="99" t="s">
        <v>196</v>
      </c>
    </row>
    <row r="17" spans="1:11" x14ac:dyDescent="0.2">
      <c r="A17" s="97" t="s">
        <v>1435</v>
      </c>
      <c r="B17" s="107">
        <v>72</v>
      </c>
      <c r="C17" s="107">
        <v>72</v>
      </c>
      <c r="D17" s="107">
        <v>1</v>
      </c>
      <c r="E17" s="107" t="s">
        <v>1411</v>
      </c>
      <c r="F17" s="97" t="s">
        <v>1419</v>
      </c>
      <c r="G17" s="320"/>
      <c r="H17" s="312"/>
      <c r="I17" s="312" t="s">
        <v>143</v>
      </c>
      <c r="J17" s="312"/>
      <c r="K17" s="97" t="s">
        <v>1527</v>
      </c>
    </row>
    <row r="18" spans="1:11" x14ac:dyDescent="0.2">
      <c r="A18" s="97" t="s">
        <v>1436</v>
      </c>
      <c r="B18" s="107">
        <v>73</v>
      </c>
      <c r="C18" s="107">
        <v>102</v>
      </c>
      <c r="D18" s="107">
        <v>30</v>
      </c>
      <c r="E18" s="107" t="s">
        <v>1411</v>
      </c>
      <c r="F18" s="97" t="s">
        <v>1419</v>
      </c>
      <c r="G18" s="321"/>
      <c r="H18" s="312" t="s">
        <v>19</v>
      </c>
      <c r="I18" s="312"/>
      <c r="J18" s="312"/>
      <c r="K18" s="97" t="s">
        <v>1437</v>
      </c>
    </row>
    <row r="19" spans="1:11" x14ac:dyDescent="0.2">
      <c r="A19" s="97" t="s">
        <v>1438</v>
      </c>
      <c r="B19" s="107">
        <v>103</v>
      </c>
      <c r="C19" s="107">
        <v>132</v>
      </c>
      <c r="D19" s="107">
        <v>30</v>
      </c>
      <c r="E19" s="107" t="s">
        <v>1411</v>
      </c>
      <c r="F19" s="97" t="s">
        <v>1419</v>
      </c>
      <c r="G19" s="312" t="s">
        <v>1439</v>
      </c>
      <c r="H19" s="312"/>
      <c r="I19" s="312"/>
      <c r="J19" s="312"/>
      <c r="K19" s="97" t="s">
        <v>1476</v>
      </c>
    </row>
    <row r="20" spans="1:11" x14ac:dyDescent="0.2">
      <c r="A20" s="97" t="s">
        <v>1440</v>
      </c>
      <c r="B20" s="107">
        <v>133</v>
      </c>
      <c r="C20" s="107">
        <v>142</v>
      </c>
      <c r="D20" s="107">
        <v>10</v>
      </c>
      <c r="E20" s="107" t="s">
        <v>1411</v>
      </c>
      <c r="F20" s="97" t="s">
        <v>1419</v>
      </c>
      <c r="G20" s="312" t="s">
        <v>1441</v>
      </c>
      <c r="H20" s="312"/>
      <c r="I20" s="312"/>
      <c r="J20" s="312"/>
      <c r="K20" s="97" t="s">
        <v>1471</v>
      </c>
    </row>
    <row r="21" spans="1:11" x14ac:dyDescent="0.2">
      <c r="A21" s="97" t="s">
        <v>1442</v>
      </c>
      <c r="B21" s="107">
        <v>143</v>
      </c>
      <c r="C21" s="107">
        <v>143</v>
      </c>
      <c r="D21" s="107">
        <v>1</v>
      </c>
      <c r="E21" s="107" t="s">
        <v>1411</v>
      </c>
      <c r="F21" s="97" t="s">
        <v>1412</v>
      </c>
      <c r="G21" s="319" t="s">
        <v>1460</v>
      </c>
      <c r="H21" s="312" t="s">
        <v>1430</v>
      </c>
      <c r="I21" s="312"/>
      <c r="J21" s="312"/>
      <c r="K21" s="144" t="s">
        <v>1639</v>
      </c>
    </row>
    <row r="22" spans="1:11" x14ac:dyDescent="0.2">
      <c r="A22" s="97" t="s">
        <v>1443</v>
      </c>
      <c r="B22" s="107">
        <v>144</v>
      </c>
      <c r="C22" s="107">
        <v>151</v>
      </c>
      <c r="D22" s="107">
        <v>8</v>
      </c>
      <c r="E22" s="107" t="s">
        <v>1411</v>
      </c>
      <c r="F22" s="97" t="s">
        <v>1412</v>
      </c>
      <c r="G22" s="320"/>
      <c r="H22" s="312" t="s">
        <v>1444</v>
      </c>
      <c r="I22" s="312"/>
      <c r="J22" s="312"/>
      <c r="K22" s="97" t="s">
        <v>1445</v>
      </c>
    </row>
    <row r="23" spans="1:11" x14ac:dyDescent="0.2">
      <c r="A23" s="97" t="s">
        <v>1446</v>
      </c>
      <c r="B23" s="107">
        <v>152</v>
      </c>
      <c r="C23" s="107">
        <v>157</v>
      </c>
      <c r="D23" s="107">
        <v>6</v>
      </c>
      <c r="E23" s="107" t="s">
        <v>1411</v>
      </c>
      <c r="F23" s="97" t="s">
        <v>1412</v>
      </c>
      <c r="G23" s="320"/>
      <c r="H23" s="312" t="s">
        <v>1447</v>
      </c>
      <c r="I23" s="312"/>
      <c r="J23" s="312"/>
      <c r="K23" s="97" t="s">
        <v>1448</v>
      </c>
    </row>
    <row r="24" spans="1:11" ht="38.25" x14ac:dyDescent="0.2">
      <c r="A24" s="97" t="s">
        <v>1449</v>
      </c>
      <c r="B24" s="107">
        <v>158</v>
      </c>
      <c r="C24" s="107">
        <v>163</v>
      </c>
      <c r="D24" s="107">
        <v>6</v>
      </c>
      <c r="E24" s="107" t="s">
        <v>1411</v>
      </c>
      <c r="F24" s="97" t="s">
        <v>1412</v>
      </c>
      <c r="G24" s="320"/>
      <c r="H24" s="312" t="s">
        <v>1450</v>
      </c>
      <c r="I24" s="312"/>
      <c r="J24" s="312"/>
      <c r="K24" s="97" t="s">
        <v>1478</v>
      </c>
    </row>
    <row r="25" spans="1:11" ht="14.25" x14ac:dyDescent="0.2">
      <c r="A25" s="97" t="s">
        <v>1451</v>
      </c>
      <c r="B25" s="107">
        <v>164</v>
      </c>
      <c r="C25" s="107">
        <v>166</v>
      </c>
      <c r="D25" s="107">
        <v>3</v>
      </c>
      <c r="E25" s="107" t="s">
        <v>1411</v>
      </c>
      <c r="F25" s="97" t="s">
        <v>1412</v>
      </c>
      <c r="G25" s="320"/>
      <c r="H25" s="312" t="s">
        <v>1452</v>
      </c>
      <c r="I25" s="312"/>
      <c r="J25" s="312"/>
      <c r="K25" s="97" t="s">
        <v>1479</v>
      </c>
    </row>
    <row r="26" spans="1:11" x14ac:dyDescent="0.2">
      <c r="A26" s="312" t="s">
        <v>1453</v>
      </c>
      <c r="B26" s="317">
        <v>167</v>
      </c>
      <c r="C26" s="317">
        <v>171</v>
      </c>
      <c r="D26" s="317">
        <v>5</v>
      </c>
      <c r="E26" s="317" t="s">
        <v>1411</v>
      </c>
      <c r="F26" s="312" t="s">
        <v>1412</v>
      </c>
      <c r="G26" s="320"/>
      <c r="H26" s="312" t="s">
        <v>1454</v>
      </c>
      <c r="I26" s="312"/>
      <c r="J26" s="312"/>
      <c r="K26" s="312" t="s">
        <v>1480</v>
      </c>
    </row>
    <row r="27" spans="1:11" x14ac:dyDescent="0.2">
      <c r="A27" s="312"/>
      <c r="B27" s="317"/>
      <c r="C27" s="317"/>
      <c r="D27" s="317"/>
      <c r="E27" s="317"/>
      <c r="F27" s="312"/>
      <c r="G27" s="321"/>
      <c r="H27" s="312"/>
      <c r="I27" s="312"/>
      <c r="J27" s="312"/>
      <c r="K27" s="312"/>
    </row>
    <row r="28" spans="1:11" x14ac:dyDescent="0.2">
      <c r="A28" s="97" t="s">
        <v>1455</v>
      </c>
      <c r="B28" s="107">
        <v>172</v>
      </c>
      <c r="C28" s="107">
        <v>191</v>
      </c>
      <c r="D28" s="107">
        <v>20</v>
      </c>
      <c r="E28" s="107" t="s">
        <v>1411</v>
      </c>
      <c r="F28" s="97" t="s">
        <v>1419</v>
      </c>
      <c r="G28" s="301" t="s">
        <v>1456</v>
      </c>
      <c r="H28" s="301"/>
      <c r="I28" s="301"/>
      <c r="J28" s="301"/>
      <c r="K28" s="97" t="s">
        <v>1481</v>
      </c>
    </row>
    <row r="29" spans="1:11" x14ac:dyDescent="0.2">
      <c r="A29" s="97" t="s">
        <v>1457</v>
      </c>
      <c r="B29" s="107">
        <v>192</v>
      </c>
      <c r="C29" s="107">
        <v>211</v>
      </c>
      <c r="D29" s="107">
        <v>20</v>
      </c>
      <c r="E29" s="107" t="s">
        <v>1411</v>
      </c>
      <c r="F29" s="97" t="s">
        <v>1419</v>
      </c>
      <c r="G29" s="301" t="s">
        <v>1458</v>
      </c>
      <c r="H29" s="301"/>
      <c r="I29" s="301"/>
      <c r="J29" s="301"/>
      <c r="K29" s="97" t="s">
        <v>1482</v>
      </c>
    </row>
    <row r="30" spans="1:11" x14ac:dyDescent="0.2">
      <c r="A30" s="97" t="s">
        <v>1459</v>
      </c>
      <c r="B30" s="107">
        <v>212</v>
      </c>
      <c r="C30" s="107">
        <v>240</v>
      </c>
      <c r="D30" s="107">
        <v>29</v>
      </c>
      <c r="E30" s="107" t="s">
        <v>1411</v>
      </c>
      <c r="F30" s="97" t="s">
        <v>1419</v>
      </c>
      <c r="G30" s="301" t="s">
        <v>1418</v>
      </c>
      <c r="H30" s="301"/>
      <c r="I30" s="301"/>
      <c r="J30" s="301"/>
      <c r="K30" s="97" t="s">
        <v>1471</v>
      </c>
    </row>
    <row r="31" spans="1:11" x14ac:dyDescent="0.2">
      <c r="A31" s="98" t="s">
        <v>1462</v>
      </c>
      <c r="B31" s="343" t="s">
        <v>1465</v>
      </c>
      <c r="C31" s="343"/>
      <c r="D31" s="343"/>
      <c r="E31" s="343"/>
      <c r="F31" s="343"/>
      <c r="G31" s="343"/>
      <c r="H31" s="343"/>
      <c r="I31" s="343"/>
      <c r="J31" s="343"/>
      <c r="K31" s="343"/>
    </row>
    <row r="32" spans="1:11" x14ac:dyDescent="0.2">
      <c r="A32" s="98" t="s">
        <v>1463</v>
      </c>
      <c r="B32" s="344" t="s">
        <v>2730</v>
      </c>
      <c r="C32" s="345"/>
      <c r="D32" s="345"/>
      <c r="E32" s="345"/>
      <c r="F32" s="345"/>
      <c r="G32" s="345"/>
      <c r="H32" s="345"/>
      <c r="I32" s="345"/>
      <c r="J32" s="345"/>
      <c r="K32" s="345"/>
    </row>
    <row r="33" spans="1:11" x14ac:dyDescent="0.2">
      <c r="A33" s="98" t="s">
        <v>1464</v>
      </c>
      <c r="B33" s="344" t="s">
        <v>2731</v>
      </c>
      <c r="C33" s="345"/>
      <c r="D33" s="345"/>
      <c r="E33" s="345"/>
      <c r="F33" s="345"/>
      <c r="G33" s="345"/>
      <c r="H33" s="345"/>
      <c r="I33" s="345"/>
      <c r="J33" s="345"/>
      <c r="K33" s="345"/>
    </row>
    <row r="35" spans="1:11" x14ac:dyDescent="0.2">
      <c r="A35" s="308" t="s">
        <v>1483</v>
      </c>
      <c r="B35" s="308"/>
      <c r="C35" s="308"/>
      <c r="D35" s="308"/>
      <c r="E35" s="308"/>
      <c r="F35" s="308"/>
      <c r="G35" s="308"/>
      <c r="H35" s="308"/>
      <c r="I35" s="308"/>
      <c r="J35" s="308"/>
      <c r="K35" s="308"/>
    </row>
    <row r="36" spans="1:11" x14ac:dyDescent="0.2">
      <c r="A36" s="309" t="s">
        <v>112</v>
      </c>
      <c r="B36" s="310" t="s">
        <v>1403</v>
      </c>
      <c r="C36" s="310"/>
      <c r="D36" s="106" t="s">
        <v>1404</v>
      </c>
      <c r="E36" s="106" t="s">
        <v>1404</v>
      </c>
      <c r="F36" s="309" t="s">
        <v>1381</v>
      </c>
      <c r="G36" s="313" t="s">
        <v>1466</v>
      </c>
      <c r="H36" s="313"/>
      <c r="I36" s="313"/>
      <c r="J36" s="313"/>
      <c r="K36" s="314"/>
    </row>
    <row r="37" spans="1:11" x14ac:dyDescent="0.2">
      <c r="A37" s="318"/>
      <c r="B37" s="109" t="s">
        <v>1405</v>
      </c>
      <c r="C37" s="109" t="s">
        <v>1406</v>
      </c>
      <c r="D37" s="109" t="s">
        <v>1407</v>
      </c>
      <c r="E37" s="109" t="s">
        <v>1408</v>
      </c>
      <c r="F37" s="309"/>
      <c r="G37" s="315"/>
      <c r="H37" s="315"/>
      <c r="I37" s="315"/>
      <c r="J37" s="315"/>
      <c r="K37" s="316"/>
    </row>
    <row r="38" spans="1:11" x14ac:dyDescent="0.2">
      <c r="A38" s="104" t="s">
        <v>1484</v>
      </c>
      <c r="B38" s="110">
        <v>1</v>
      </c>
      <c r="C38" s="110">
        <v>3</v>
      </c>
      <c r="D38" s="110">
        <v>3</v>
      </c>
      <c r="E38" s="110" t="s">
        <v>1411</v>
      </c>
      <c r="F38" s="104" t="s">
        <v>1412</v>
      </c>
      <c r="G38" s="301" t="s">
        <v>1410</v>
      </c>
      <c r="H38" s="301" t="s">
        <v>38</v>
      </c>
      <c r="I38" s="301"/>
      <c r="J38" s="301"/>
      <c r="K38" s="95" t="s">
        <v>4</v>
      </c>
    </row>
    <row r="39" spans="1:11" ht="51" x14ac:dyDescent="0.2">
      <c r="A39" s="104" t="s">
        <v>1485</v>
      </c>
      <c r="B39" s="110">
        <v>4</v>
      </c>
      <c r="C39" s="110">
        <v>7</v>
      </c>
      <c r="D39" s="110">
        <v>4</v>
      </c>
      <c r="E39" s="110" t="s">
        <v>1411</v>
      </c>
      <c r="F39" s="104" t="s">
        <v>1412</v>
      </c>
      <c r="G39" s="301"/>
      <c r="H39" s="301" t="s">
        <v>1414</v>
      </c>
      <c r="I39" s="301"/>
      <c r="J39" s="301"/>
      <c r="K39" s="95" t="s">
        <v>1520</v>
      </c>
    </row>
    <row r="40" spans="1:11" x14ac:dyDescent="0.2">
      <c r="A40" s="104" t="s">
        <v>1486</v>
      </c>
      <c r="B40" s="110">
        <v>8</v>
      </c>
      <c r="C40" s="110">
        <v>8</v>
      </c>
      <c r="D40" s="110">
        <v>1</v>
      </c>
      <c r="E40" s="110" t="s">
        <v>1411</v>
      </c>
      <c r="F40" s="104" t="s">
        <v>1412</v>
      </c>
      <c r="G40" s="301"/>
      <c r="H40" s="301" t="s">
        <v>1416</v>
      </c>
      <c r="I40" s="301"/>
      <c r="J40" s="301"/>
      <c r="K40" s="95" t="s">
        <v>1521</v>
      </c>
    </row>
    <row r="41" spans="1:11" x14ac:dyDescent="0.2">
      <c r="A41" s="104" t="s">
        <v>1487</v>
      </c>
      <c r="B41" s="110">
        <v>9</v>
      </c>
      <c r="C41" s="110">
        <v>9</v>
      </c>
      <c r="D41" s="110">
        <v>1</v>
      </c>
      <c r="E41" s="110" t="s">
        <v>1411</v>
      </c>
      <c r="F41" s="104" t="s">
        <v>1419</v>
      </c>
      <c r="G41" s="301" t="s">
        <v>1507</v>
      </c>
      <c r="H41" s="301" t="s">
        <v>1508</v>
      </c>
      <c r="I41" s="301"/>
      <c r="J41" s="301"/>
      <c r="K41" s="147" t="s">
        <v>1714</v>
      </c>
    </row>
    <row r="42" spans="1:11" x14ac:dyDescent="0.2">
      <c r="A42" s="104" t="s">
        <v>1488</v>
      </c>
      <c r="B42" s="110">
        <v>10</v>
      </c>
      <c r="C42" s="110">
        <v>11</v>
      </c>
      <c r="D42" s="110">
        <v>2</v>
      </c>
      <c r="E42" s="110" t="s">
        <v>1411</v>
      </c>
      <c r="F42" s="104" t="s">
        <v>1412</v>
      </c>
      <c r="G42" s="301"/>
      <c r="H42" s="301" t="s">
        <v>1507</v>
      </c>
      <c r="I42" s="301"/>
      <c r="J42" s="301"/>
      <c r="K42" s="95" t="s">
        <v>1523</v>
      </c>
    </row>
    <row r="43" spans="1:11" x14ac:dyDescent="0.2">
      <c r="A43" s="104" t="s">
        <v>1489</v>
      </c>
      <c r="B43" s="110">
        <v>12</v>
      </c>
      <c r="C43" s="110">
        <v>13</v>
      </c>
      <c r="D43" s="110">
        <v>2</v>
      </c>
      <c r="E43" s="110" t="s">
        <v>1411</v>
      </c>
      <c r="F43" s="104" t="s">
        <v>1419</v>
      </c>
      <c r="G43" s="301"/>
      <c r="H43" s="301" t="s">
        <v>1418</v>
      </c>
      <c r="I43" s="301"/>
      <c r="J43" s="301"/>
      <c r="K43" s="95" t="s">
        <v>1524</v>
      </c>
    </row>
    <row r="44" spans="1:11" x14ac:dyDescent="0.2">
      <c r="A44" s="104" t="s">
        <v>1490</v>
      </c>
      <c r="B44" s="110">
        <v>14</v>
      </c>
      <c r="C44" s="110">
        <v>16</v>
      </c>
      <c r="D44" s="110">
        <v>3</v>
      </c>
      <c r="E44" s="110" t="s">
        <v>1411</v>
      </c>
      <c r="F44" s="104" t="s">
        <v>1412</v>
      </c>
      <c r="G44" s="301"/>
      <c r="H44" s="301" t="s">
        <v>1510</v>
      </c>
      <c r="I44" s="301"/>
      <c r="J44" s="301"/>
      <c r="K44" s="147" t="s">
        <v>1715</v>
      </c>
    </row>
    <row r="45" spans="1:11" x14ac:dyDescent="0.2">
      <c r="A45" s="104" t="s">
        <v>1491</v>
      </c>
      <c r="B45" s="110">
        <v>17</v>
      </c>
      <c r="C45" s="110">
        <v>17</v>
      </c>
      <c r="D45" s="110">
        <v>1</v>
      </c>
      <c r="E45" s="110" t="s">
        <v>1411</v>
      </c>
      <c r="F45" s="104" t="s">
        <v>1419</v>
      </c>
      <c r="G45" s="301" t="s">
        <v>1418</v>
      </c>
      <c r="H45" s="301"/>
      <c r="I45" s="301"/>
      <c r="J45" s="301"/>
      <c r="K45" s="95" t="s">
        <v>1524</v>
      </c>
    </row>
    <row r="46" spans="1:11" ht="38.25" x14ac:dyDescent="0.2">
      <c r="A46" s="104" t="s">
        <v>1492</v>
      </c>
      <c r="B46" s="110">
        <v>18</v>
      </c>
      <c r="C46" s="110">
        <v>18</v>
      </c>
      <c r="D46" s="110">
        <v>1</v>
      </c>
      <c r="E46" s="110" t="s">
        <v>1411</v>
      </c>
      <c r="F46" s="104" t="s">
        <v>1412</v>
      </c>
      <c r="G46" s="305" t="s">
        <v>247</v>
      </c>
      <c r="H46" s="312" t="s">
        <v>1421</v>
      </c>
      <c r="I46" s="301" t="s">
        <v>1422</v>
      </c>
      <c r="J46" s="301"/>
      <c r="K46" s="97" t="s">
        <v>1467</v>
      </c>
    </row>
    <row r="47" spans="1:11" x14ac:dyDescent="0.2">
      <c r="A47" s="104" t="s">
        <v>1493</v>
      </c>
      <c r="B47" s="110">
        <v>19</v>
      </c>
      <c r="C47" s="110">
        <v>33</v>
      </c>
      <c r="D47" s="110">
        <v>15</v>
      </c>
      <c r="E47" s="110" t="s">
        <v>1411</v>
      </c>
      <c r="F47" s="104" t="s">
        <v>1412</v>
      </c>
      <c r="G47" s="306"/>
      <c r="H47" s="312"/>
      <c r="I47" s="301" t="s">
        <v>1424</v>
      </c>
      <c r="J47" s="301"/>
      <c r="K47" s="95" t="s">
        <v>1511</v>
      </c>
    </row>
    <row r="48" spans="1:11" x14ac:dyDescent="0.2">
      <c r="A48" s="104" t="s">
        <v>1494</v>
      </c>
      <c r="B48" s="110">
        <v>34</v>
      </c>
      <c r="C48" s="110">
        <v>53</v>
      </c>
      <c r="D48" s="110">
        <v>20</v>
      </c>
      <c r="E48" s="110" t="s">
        <v>1411</v>
      </c>
      <c r="F48" s="104" t="s">
        <v>1419</v>
      </c>
      <c r="G48" s="306"/>
      <c r="H48" s="301" t="s">
        <v>1427</v>
      </c>
      <c r="I48" s="301"/>
      <c r="J48" s="301"/>
      <c r="K48" s="95" t="s">
        <v>1526</v>
      </c>
    </row>
    <row r="49" spans="1:11" x14ac:dyDescent="0.2">
      <c r="A49" s="104" t="s">
        <v>1495</v>
      </c>
      <c r="B49" s="110">
        <v>54</v>
      </c>
      <c r="C49" s="110">
        <v>58</v>
      </c>
      <c r="D49" s="110">
        <v>5</v>
      </c>
      <c r="E49" s="110" t="s">
        <v>1411</v>
      </c>
      <c r="F49" s="104" t="s">
        <v>1412</v>
      </c>
      <c r="G49" s="306"/>
      <c r="H49" s="301" t="s">
        <v>1512</v>
      </c>
      <c r="I49" s="301" t="s">
        <v>1429</v>
      </c>
      <c r="J49" s="95" t="s">
        <v>1430</v>
      </c>
      <c r="K49" s="97" t="s">
        <v>184</v>
      </c>
    </row>
    <row r="50" spans="1:11" x14ac:dyDescent="0.2">
      <c r="A50" s="104" t="s">
        <v>1496</v>
      </c>
      <c r="B50" s="110">
        <v>59</v>
      </c>
      <c r="C50" s="110">
        <v>59</v>
      </c>
      <c r="D50" s="110">
        <v>1</v>
      </c>
      <c r="E50" s="110" t="s">
        <v>1411</v>
      </c>
      <c r="F50" s="104" t="s">
        <v>1419</v>
      </c>
      <c r="G50" s="306"/>
      <c r="H50" s="301"/>
      <c r="I50" s="301"/>
      <c r="J50" s="95" t="s">
        <v>143</v>
      </c>
      <c r="K50" s="97" t="s">
        <v>185</v>
      </c>
    </row>
    <row r="51" spans="1:11" x14ac:dyDescent="0.2">
      <c r="A51" s="104" t="s">
        <v>1497</v>
      </c>
      <c r="B51" s="110">
        <v>60</v>
      </c>
      <c r="C51" s="110">
        <v>71</v>
      </c>
      <c r="D51" s="110">
        <v>12</v>
      </c>
      <c r="E51" s="110" t="s">
        <v>1411</v>
      </c>
      <c r="F51" s="104" t="s">
        <v>1412</v>
      </c>
      <c r="G51" s="306"/>
      <c r="H51" s="301"/>
      <c r="I51" s="301" t="s">
        <v>1433</v>
      </c>
      <c r="J51" s="95" t="s">
        <v>1424</v>
      </c>
      <c r="K51" s="99" t="s">
        <v>195</v>
      </c>
    </row>
    <row r="52" spans="1:11" x14ac:dyDescent="0.2">
      <c r="A52" s="104" t="s">
        <v>1498</v>
      </c>
      <c r="B52" s="110">
        <v>72</v>
      </c>
      <c r="C52" s="110">
        <v>72</v>
      </c>
      <c r="D52" s="110">
        <v>1</v>
      </c>
      <c r="E52" s="110" t="s">
        <v>1411</v>
      </c>
      <c r="F52" s="104" t="s">
        <v>1419</v>
      </c>
      <c r="G52" s="306"/>
      <c r="H52" s="301"/>
      <c r="I52" s="301"/>
      <c r="J52" s="95" t="s">
        <v>143</v>
      </c>
      <c r="K52" s="99" t="s">
        <v>196</v>
      </c>
    </row>
    <row r="53" spans="1:11" x14ac:dyDescent="0.2">
      <c r="A53" s="104" t="s">
        <v>1499</v>
      </c>
      <c r="B53" s="110">
        <v>73</v>
      </c>
      <c r="C53" s="110">
        <v>73</v>
      </c>
      <c r="D53" s="110">
        <v>1</v>
      </c>
      <c r="E53" s="110" t="s">
        <v>1411</v>
      </c>
      <c r="F53" s="104" t="s">
        <v>1419</v>
      </c>
      <c r="G53" s="306"/>
      <c r="H53" s="301"/>
      <c r="I53" s="301" t="s">
        <v>143</v>
      </c>
      <c r="J53" s="301"/>
      <c r="K53" s="97" t="s">
        <v>1527</v>
      </c>
    </row>
    <row r="54" spans="1:11" x14ac:dyDescent="0.2">
      <c r="A54" s="104" t="s">
        <v>1500</v>
      </c>
      <c r="B54" s="110">
        <v>74</v>
      </c>
      <c r="C54" s="110">
        <v>103</v>
      </c>
      <c r="D54" s="110">
        <v>30</v>
      </c>
      <c r="E54" s="110" t="s">
        <v>1411</v>
      </c>
      <c r="F54" s="104" t="s">
        <v>1419</v>
      </c>
      <c r="G54" s="307"/>
      <c r="H54" s="301" t="s">
        <v>19</v>
      </c>
      <c r="I54" s="301"/>
      <c r="J54" s="301"/>
      <c r="K54" s="95" t="s">
        <v>1437</v>
      </c>
    </row>
    <row r="55" spans="1:11" x14ac:dyDescent="0.2">
      <c r="A55" s="104" t="s">
        <v>1501</v>
      </c>
      <c r="B55" s="110">
        <v>104</v>
      </c>
      <c r="C55" s="110">
        <v>143</v>
      </c>
      <c r="D55" s="110">
        <v>40</v>
      </c>
      <c r="E55" s="110" t="s">
        <v>1411</v>
      </c>
      <c r="F55" s="104" t="s">
        <v>1419</v>
      </c>
      <c r="G55" s="301" t="s">
        <v>1513</v>
      </c>
      <c r="H55" s="301"/>
      <c r="I55" s="301"/>
      <c r="J55" s="301"/>
      <c r="K55" s="147" t="s">
        <v>1716</v>
      </c>
    </row>
    <row r="56" spans="1:11" x14ac:dyDescent="0.2">
      <c r="A56" s="104" t="s">
        <v>1502</v>
      </c>
      <c r="B56" s="110">
        <v>144</v>
      </c>
      <c r="C56" s="110">
        <v>183</v>
      </c>
      <c r="D56" s="110">
        <v>40</v>
      </c>
      <c r="E56" s="110" t="s">
        <v>1411</v>
      </c>
      <c r="F56" s="104" t="s">
        <v>1419</v>
      </c>
      <c r="G56" s="301" t="s">
        <v>1514</v>
      </c>
      <c r="H56" s="301"/>
      <c r="I56" s="301"/>
      <c r="J56" s="301"/>
      <c r="K56" s="147" t="s">
        <v>1719</v>
      </c>
    </row>
    <row r="57" spans="1:11" ht="38.25" x14ac:dyDescent="0.2">
      <c r="A57" s="104" t="s">
        <v>1503</v>
      </c>
      <c r="B57" s="110">
        <v>184</v>
      </c>
      <c r="C57" s="110">
        <v>191</v>
      </c>
      <c r="D57" s="110">
        <v>8</v>
      </c>
      <c r="E57" s="110" t="s">
        <v>1411</v>
      </c>
      <c r="F57" s="104" t="s">
        <v>1412</v>
      </c>
      <c r="G57" s="301" t="s">
        <v>1515</v>
      </c>
      <c r="H57" s="301"/>
      <c r="I57" s="301" t="s">
        <v>1516</v>
      </c>
      <c r="J57" s="301"/>
      <c r="K57" s="95" t="s">
        <v>2732</v>
      </c>
    </row>
    <row r="58" spans="1:11" x14ac:dyDescent="0.2">
      <c r="A58" s="104" t="s">
        <v>1504</v>
      </c>
      <c r="B58" s="110">
        <v>192</v>
      </c>
      <c r="C58" s="110">
        <v>199</v>
      </c>
      <c r="D58" s="110">
        <v>8</v>
      </c>
      <c r="E58" s="110" t="s">
        <v>1411</v>
      </c>
      <c r="F58" s="104" t="s">
        <v>1412</v>
      </c>
      <c r="G58" s="301"/>
      <c r="H58" s="301"/>
      <c r="I58" s="301" t="s">
        <v>1517</v>
      </c>
      <c r="J58" s="301"/>
      <c r="K58" s="95" t="s">
        <v>1518</v>
      </c>
    </row>
    <row r="59" spans="1:11" ht="76.5" x14ac:dyDescent="0.2">
      <c r="A59" s="104" t="s">
        <v>1505</v>
      </c>
      <c r="B59" s="110">
        <v>200</v>
      </c>
      <c r="C59" s="110">
        <v>207</v>
      </c>
      <c r="D59" s="110">
        <v>8</v>
      </c>
      <c r="E59" s="110" t="s">
        <v>1411</v>
      </c>
      <c r="F59" s="104" t="s">
        <v>1412</v>
      </c>
      <c r="G59" s="301" t="s">
        <v>1519</v>
      </c>
      <c r="H59" s="301"/>
      <c r="I59" s="301"/>
      <c r="J59" s="301"/>
      <c r="K59" s="147" t="s">
        <v>1717</v>
      </c>
    </row>
    <row r="60" spans="1:11" x14ac:dyDescent="0.2">
      <c r="A60" s="104" t="s">
        <v>1506</v>
      </c>
      <c r="B60" s="110">
        <v>208</v>
      </c>
      <c r="C60" s="110">
        <v>240</v>
      </c>
      <c r="D60" s="110">
        <v>33</v>
      </c>
      <c r="E60" s="110" t="s">
        <v>1411</v>
      </c>
      <c r="F60" s="104" t="s">
        <v>1419</v>
      </c>
      <c r="G60" s="301" t="s">
        <v>1418</v>
      </c>
      <c r="H60" s="301"/>
      <c r="I60" s="301"/>
      <c r="J60" s="301"/>
      <c r="K60" s="95" t="s">
        <v>1524</v>
      </c>
    </row>
    <row r="62" spans="1:11" x14ac:dyDescent="0.2">
      <c r="A62" s="308" t="s">
        <v>1638</v>
      </c>
      <c r="B62" s="308"/>
      <c r="C62" s="308"/>
      <c r="D62" s="308"/>
      <c r="E62" s="308"/>
      <c r="F62" s="308"/>
      <c r="G62" s="308"/>
      <c r="H62" s="308"/>
      <c r="I62" s="308"/>
      <c r="J62" s="308"/>
      <c r="K62" s="308"/>
    </row>
    <row r="63" spans="1:11" x14ac:dyDescent="0.2">
      <c r="A63" s="309" t="s">
        <v>112</v>
      </c>
      <c r="B63" s="310" t="s">
        <v>1403</v>
      </c>
      <c r="C63" s="310"/>
      <c r="D63" s="106" t="s">
        <v>1404</v>
      </c>
      <c r="E63" s="106" t="s">
        <v>1404</v>
      </c>
      <c r="F63" s="309" t="s">
        <v>1381</v>
      </c>
      <c r="G63" s="311" t="s">
        <v>1466</v>
      </c>
      <c r="H63" s="311"/>
      <c r="I63" s="311"/>
      <c r="J63" s="311"/>
      <c r="K63" s="311"/>
    </row>
    <row r="64" spans="1:11" x14ac:dyDescent="0.2">
      <c r="A64" s="318"/>
      <c r="B64" s="109" t="s">
        <v>1405</v>
      </c>
      <c r="C64" s="109" t="s">
        <v>1406</v>
      </c>
      <c r="D64" s="109" t="s">
        <v>1407</v>
      </c>
      <c r="E64" s="109" t="s">
        <v>1408</v>
      </c>
      <c r="F64" s="318"/>
      <c r="G64" s="311"/>
      <c r="H64" s="311"/>
      <c r="I64" s="311"/>
      <c r="J64" s="311"/>
      <c r="K64" s="311"/>
    </row>
    <row r="65" spans="1:11" x14ac:dyDescent="0.2">
      <c r="A65" s="145" t="s">
        <v>1605</v>
      </c>
      <c r="B65" s="145">
        <v>1</v>
      </c>
      <c r="C65" s="145">
        <v>3</v>
      </c>
      <c r="D65" s="145">
        <v>3</v>
      </c>
      <c r="E65" s="145" t="s">
        <v>1411</v>
      </c>
      <c r="F65" s="145" t="s">
        <v>1412</v>
      </c>
      <c r="G65" s="388" t="s">
        <v>1410</v>
      </c>
      <c r="H65" s="302" t="s">
        <v>38</v>
      </c>
      <c r="I65" s="303"/>
      <c r="J65" s="304"/>
      <c r="K65" s="121" t="s">
        <v>4</v>
      </c>
    </row>
    <row r="66" spans="1:11" ht="51" x14ac:dyDescent="0.2">
      <c r="A66" s="145" t="s">
        <v>1606</v>
      </c>
      <c r="B66" s="145">
        <v>4</v>
      </c>
      <c r="C66" s="145">
        <v>7</v>
      </c>
      <c r="D66" s="145">
        <v>4</v>
      </c>
      <c r="E66" s="145" t="s">
        <v>1411</v>
      </c>
      <c r="F66" s="145" t="s">
        <v>1412</v>
      </c>
      <c r="G66" s="333"/>
      <c r="H66" s="302" t="s">
        <v>1414</v>
      </c>
      <c r="I66" s="303"/>
      <c r="J66" s="304"/>
      <c r="K66" s="121" t="s">
        <v>1520</v>
      </c>
    </row>
    <row r="67" spans="1:11" x14ac:dyDescent="0.2">
      <c r="A67" s="145" t="s">
        <v>1607</v>
      </c>
      <c r="B67" s="145">
        <v>8</v>
      </c>
      <c r="C67" s="145">
        <v>8</v>
      </c>
      <c r="D67" s="145">
        <v>1</v>
      </c>
      <c r="E67" s="145" t="s">
        <v>1411</v>
      </c>
      <c r="F67" s="145" t="s">
        <v>1412</v>
      </c>
      <c r="G67" s="336"/>
      <c r="H67" s="302" t="s">
        <v>1416</v>
      </c>
      <c r="I67" s="303"/>
      <c r="J67" s="304"/>
      <c r="K67" s="121" t="s">
        <v>230</v>
      </c>
    </row>
    <row r="68" spans="1:11" ht="38.25" x14ac:dyDescent="0.2">
      <c r="A68" s="145" t="s">
        <v>1608</v>
      </c>
      <c r="B68" s="145">
        <v>9</v>
      </c>
      <c r="C68" s="145">
        <v>13</v>
      </c>
      <c r="D68" s="145">
        <v>5</v>
      </c>
      <c r="E68" s="145" t="s">
        <v>1411</v>
      </c>
      <c r="F68" s="145" t="s">
        <v>1412</v>
      </c>
      <c r="G68" s="362" t="s">
        <v>1507</v>
      </c>
      <c r="H68" s="143" t="s">
        <v>1571</v>
      </c>
      <c r="I68" s="139"/>
      <c r="J68" s="140"/>
      <c r="K68" s="121" t="s">
        <v>1640</v>
      </c>
    </row>
    <row r="69" spans="1:11" x14ac:dyDescent="0.2">
      <c r="A69" s="145" t="s">
        <v>1609</v>
      </c>
      <c r="B69" s="145">
        <v>14</v>
      </c>
      <c r="C69" s="145">
        <v>14</v>
      </c>
      <c r="D69" s="145">
        <v>1</v>
      </c>
      <c r="E69" s="145" t="s">
        <v>1411</v>
      </c>
      <c r="F69" s="145" t="s">
        <v>1419</v>
      </c>
      <c r="G69" s="363"/>
      <c r="H69" s="143" t="s">
        <v>1572</v>
      </c>
      <c r="I69" s="139"/>
      <c r="J69" s="140"/>
      <c r="K69" s="121" t="s">
        <v>1722</v>
      </c>
    </row>
    <row r="70" spans="1:11" x14ac:dyDescent="0.2">
      <c r="A70" s="145" t="s">
        <v>1610</v>
      </c>
      <c r="B70" s="145">
        <v>15</v>
      </c>
      <c r="C70" s="145">
        <v>15</v>
      </c>
      <c r="D70" s="145">
        <v>1</v>
      </c>
      <c r="E70" s="145" t="s">
        <v>1411</v>
      </c>
      <c r="F70" s="145" t="s">
        <v>1419</v>
      </c>
      <c r="G70" s="363"/>
      <c r="H70" s="143" t="s">
        <v>1418</v>
      </c>
      <c r="I70" s="139"/>
      <c r="J70" s="140"/>
      <c r="K70" s="121" t="s">
        <v>1524</v>
      </c>
    </row>
    <row r="71" spans="1:11" s="142" customFormat="1" ht="399.95" customHeight="1" x14ac:dyDescent="0.2">
      <c r="A71" s="360" t="s">
        <v>1611</v>
      </c>
      <c r="B71" s="360">
        <v>16</v>
      </c>
      <c r="C71" s="360">
        <v>17</v>
      </c>
      <c r="D71" s="360">
        <v>2</v>
      </c>
      <c r="E71" s="360" t="s">
        <v>1411</v>
      </c>
      <c r="F71" s="360" t="s">
        <v>1412</v>
      </c>
      <c r="G71" s="363"/>
      <c r="H71" s="354" t="s">
        <v>1677</v>
      </c>
      <c r="I71" s="355"/>
      <c r="J71" s="356"/>
      <c r="K71" s="352" t="s">
        <v>2760</v>
      </c>
    </row>
    <row r="72" spans="1:11" s="142" customFormat="1" ht="255" customHeight="1" x14ac:dyDescent="0.2">
      <c r="A72" s="361"/>
      <c r="B72" s="361"/>
      <c r="C72" s="361"/>
      <c r="D72" s="361"/>
      <c r="E72" s="361"/>
      <c r="F72" s="361"/>
      <c r="G72" s="364"/>
      <c r="H72" s="357"/>
      <c r="I72" s="358"/>
      <c r="J72" s="359"/>
      <c r="K72" s="353"/>
    </row>
    <row r="73" spans="1:11" x14ac:dyDescent="0.2">
      <c r="A73" s="145" t="s">
        <v>1612</v>
      </c>
      <c r="B73" s="145">
        <v>18</v>
      </c>
      <c r="C73" s="145">
        <v>22</v>
      </c>
      <c r="D73" s="145">
        <v>5</v>
      </c>
      <c r="E73" s="145" t="s">
        <v>1411</v>
      </c>
      <c r="F73" s="145" t="s">
        <v>1412</v>
      </c>
      <c r="G73" s="369" t="s">
        <v>247</v>
      </c>
      <c r="H73" s="362" t="s">
        <v>1512</v>
      </c>
      <c r="I73" s="362" t="s">
        <v>1429</v>
      </c>
      <c r="J73" s="150" t="s">
        <v>1430</v>
      </c>
      <c r="K73" s="97" t="s">
        <v>184</v>
      </c>
    </row>
    <row r="74" spans="1:11" x14ac:dyDescent="0.2">
      <c r="A74" s="145" t="s">
        <v>1613</v>
      </c>
      <c r="B74" s="145">
        <v>23</v>
      </c>
      <c r="C74" s="145">
        <v>23</v>
      </c>
      <c r="D74" s="145">
        <v>1</v>
      </c>
      <c r="E74" s="145" t="s">
        <v>1411</v>
      </c>
      <c r="F74" s="145" t="s">
        <v>1412</v>
      </c>
      <c r="G74" s="370"/>
      <c r="H74" s="363"/>
      <c r="I74" s="364"/>
      <c r="J74" s="150" t="s">
        <v>143</v>
      </c>
      <c r="K74" s="97" t="s">
        <v>185</v>
      </c>
    </row>
    <row r="75" spans="1:11" x14ac:dyDescent="0.2">
      <c r="A75" s="145" t="s">
        <v>1614</v>
      </c>
      <c r="B75" s="145">
        <v>24</v>
      </c>
      <c r="C75" s="145">
        <v>35</v>
      </c>
      <c r="D75" s="145">
        <v>12</v>
      </c>
      <c r="E75" s="145" t="s">
        <v>1411</v>
      </c>
      <c r="F75" s="145" t="s">
        <v>1412</v>
      </c>
      <c r="G75" s="370"/>
      <c r="H75" s="363"/>
      <c r="I75" s="362" t="s">
        <v>1433</v>
      </c>
      <c r="J75" s="150" t="s">
        <v>1424</v>
      </c>
      <c r="K75" s="99" t="s">
        <v>195</v>
      </c>
    </row>
    <row r="76" spans="1:11" x14ac:dyDescent="0.2">
      <c r="A76" s="145" t="s">
        <v>1615</v>
      </c>
      <c r="B76" s="145">
        <v>36</v>
      </c>
      <c r="C76" s="145">
        <v>36</v>
      </c>
      <c r="D76" s="145">
        <v>1</v>
      </c>
      <c r="E76" s="145" t="s">
        <v>1411</v>
      </c>
      <c r="F76" s="145" t="s">
        <v>1412</v>
      </c>
      <c r="G76" s="370"/>
      <c r="H76" s="363"/>
      <c r="I76" s="364"/>
      <c r="J76" s="150" t="s">
        <v>143</v>
      </c>
      <c r="K76" s="99" t="s">
        <v>196</v>
      </c>
    </row>
    <row r="77" spans="1:11" x14ac:dyDescent="0.2">
      <c r="A77" s="145" t="s">
        <v>1616</v>
      </c>
      <c r="B77" s="145">
        <v>37</v>
      </c>
      <c r="C77" s="145">
        <v>37</v>
      </c>
      <c r="D77" s="145">
        <v>1</v>
      </c>
      <c r="E77" s="145" t="s">
        <v>1411</v>
      </c>
      <c r="F77" s="145" t="s">
        <v>1412</v>
      </c>
      <c r="G77" s="371"/>
      <c r="H77" s="364"/>
      <c r="I77" s="366" t="s">
        <v>143</v>
      </c>
      <c r="J77" s="367"/>
      <c r="K77" s="95" t="s">
        <v>1527</v>
      </c>
    </row>
    <row r="78" spans="1:11" ht="153" x14ac:dyDescent="0.2">
      <c r="A78" s="145" t="s">
        <v>1617</v>
      </c>
      <c r="B78" s="145">
        <v>38</v>
      </c>
      <c r="C78" s="145">
        <v>57</v>
      </c>
      <c r="D78" s="145">
        <v>20</v>
      </c>
      <c r="E78" s="145" t="s">
        <v>1411</v>
      </c>
      <c r="F78" s="145" t="s">
        <v>1419</v>
      </c>
      <c r="G78" s="341" t="s">
        <v>32</v>
      </c>
      <c r="H78" s="303"/>
      <c r="I78" s="303"/>
      <c r="J78" s="304"/>
      <c r="K78" s="147" t="s">
        <v>2761</v>
      </c>
    </row>
    <row r="79" spans="1:11" x14ac:dyDescent="0.2">
      <c r="A79" s="145" t="s">
        <v>1618</v>
      </c>
      <c r="B79" s="145">
        <v>58</v>
      </c>
      <c r="C79" s="145">
        <v>58</v>
      </c>
      <c r="D79" s="145">
        <v>1</v>
      </c>
      <c r="E79" s="145" t="s">
        <v>1411</v>
      </c>
      <c r="F79" s="145" t="s">
        <v>1412</v>
      </c>
      <c r="G79" s="301" t="s">
        <v>42</v>
      </c>
      <c r="H79" s="301"/>
      <c r="I79" s="301"/>
      <c r="J79" s="301"/>
      <c r="K79" s="95" t="s">
        <v>234</v>
      </c>
    </row>
    <row r="80" spans="1:11" ht="51" x14ac:dyDescent="0.2">
      <c r="A80" s="145" t="s">
        <v>1619</v>
      </c>
      <c r="B80" s="145">
        <v>59</v>
      </c>
      <c r="C80" s="145">
        <v>73</v>
      </c>
      <c r="D80" s="145">
        <v>15</v>
      </c>
      <c r="E80" s="145" t="s">
        <v>1411</v>
      </c>
      <c r="F80" s="145" t="s">
        <v>1419</v>
      </c>
      <c r="G80" s="301" t="s">
        <v>1576</v>
      </c>
      <c r="H80" s="301"/>
      <c r="I80" s="301"/>
      <c r="J80" s="301"/>
      <c r="K80" s="147" t="s">
        <v>1642</v>
      </c>
    </row>
    <row r="81" spans="1:11" x14ac:dyDescent="0.2">
      <c r="A81" s="145" t="s">
        <v>1620</v>
      </c>
      <c r="B81" s="145">
        <v>74</v>
      </c>
      <c r="C81" s="145">
        <v>81</v>
      </c>
      <c r="D81" s="145">
        <v>8</v>
      </c>
      <c r="E81" s="145" t="s">
        <v>1411</v>
      </c>
      <c r="F81" s="145" t="s">
        <v>1412</v>
      </c>
      <c r="G81" s="368" t="s">
        <v>71</v>
      </c>
      <c r="H81" s="301"/>
      <c r="I81" s="301"/>
      <c r="J81" s="301"/>
      <c r="K81" s="95" t="s">
        <v>1577</v>
      </c>
    </row>
    <row r="82" spans="1:11" x14ac:dyDescent="0.2">
      <c r="A82" s="145" t="s">
        <v>1621</v>
      </c>
      <c r="B82" s="145">
        <v>82</v>
      </c>
      <c r="C82" s="145">
        <v>96</v>
      </c>
      <c r="D82" s="145">
        <v>13</v>
      </c>
      <c r="E82" s="145">
        <v>2</v>
      </c>
      <c r="F82" s="145" t="s">
        <v>1412</v>
      </c>
      <c r="G82" s="368" t="s">
        <v>1578</v>
      </c>
      <c r="H82" s="301"/>
      <c r="I82" s="301"/>
      <c r="J82" s="301"/>
      <c r="K82" s="95" t="s">
        <v>1579</v>
      </c>
    </row>
    <row r="83" spans="1:11" ht="12.75" customHeight="1" x14ac:dyDescent="0.2">
      <c r="A83" s="145" t="s">
        <v>1622</v>
      </c>
      <c r="B83" s="145">
        <v>97</v>
      </c>
      <c r="C83" s="145">
        <v>99</v>
      </c>
      <c r="D83" s="145">
        <v>3</v>
      </c>
      <c r="E83" s="145" t="s">
        <v>1411</v>
      </c>
      <c r="F83" s="145" t="s">
        <v>1412</v>
      </c>
      <c r="G83" s="372" t="s">
        <v>1623</v>
      </c>
      <c r="H83" s="373"/>
      <c r="I83" s="373"/>
      <c r="J83" s="374"/>
      <c r="K83" s="147" t="s">
        <v>1643</v>
      </c>
    </row>
    <row r="84" spans="1:11" ht="12.75" customHeight="1" x14ac:dyDescent="0.2">
      <c r="A84" s="145" t="s">
        <v>1624</v>
      </c>
      <c r="B84" s="145">
        <v>100</v>
      </c>
      <c r="C84" s="145">
        <v>104</v>
      </c>
      <c r="D84" s="145">
        <v>5</v>
      </c>
      <c r="E84" s="145" t="s">
        <v>1411</v>
      </c>
      <c r="F84" s="145" t="s">
        <v>1412</v>
      </c>
      <c r="G84" s="368" t="s">
        <v>1580</v>
      </c>
      <c r="H84" s="301"/>
      <c r="I84" s="301"/>
      <c r="J84" s="301"/>
      <c r="K84" s="147" t="s">
        <v>1641</v>
      </c>
    </row>
    <row r="85" spans="1:11" x14ac:dyDescent="0.2">
      <c r="A85" s="145" t="s">
        <v>1625</v>
      </c>
      <c r="B85" s="145">
        <v>105</v>
      </c>
      <c r="C85" s="145">
        <v>105</v>
      </c>
      <c r="D85" s="145">
        <v>1</v>
      </c>
      <c r="E85" s="145" t="s">
        <v>1411</v>
      </c>
      <c r="F85" s="145" t="s">
        <v>1412</v>
      </c>
      <c r="G85" s="340" t="s">
        <v>143</v>
      </c>
      <c r="H85" s="341"/>
      <c r="I85" s="341"/>
      <c r="J85" s="342"/>
      <c r="K85" s="147" t="s">
        <v>1645</v>
      </c>
    </row>
    <row r="86" spans="1:11" ht="25.5" x14ac:dyDescent="0.2">
      <c r="A86" s="145" t="s">
        <v>1626</v>
      </c>
      <c r="B86" s="145">
        <v>106</v>
      </c>
      <c r="C86" s="145">
        <v>130</v>
      </c>
      <c r="D86" s="145">
        <v>25</v>
      </c>
      <c r="E86" s="145" t="s">
        <v>1411</v>
      </c>
      <c r="F86" s="145" t="s">
        <v>1419</v>
      </c>
      <c r="G86" s="368" t="s">
        <v>1646</v>
      </c>
      <c r="H86" s="301"/>
      <c r="I86" s="301"/>
      <c r="J86" s="301"/>
      <c r="K86" s="147" t="s">
        <v>2762</v>
      </c>
    </row>
    <row r="87" spans="1:11" ht="38.25" x14ac:dyDescent="0.2">
      <c r="A87" s="145" t="s">
        <v>1627</v>
      </c>
      <c r="B87" s="145">
        <v>131</v>
      </c>
      <c r="C87" s="145">
        <v>132</v>
      </c>
      <c r="D87" s="145">
        <v>2</v>
      </c>
      <c r="E87" s="145" t="s">
        <v>1411</v>
      </c>
      <c r="F87" s="145" t="s">
        <v>1412</v>
      </c>
      <c r="G87" s="301" t="s">
        <v>2</v>
      </c>
      <c r="H87" s="301"/>
      <c r="I87" s="305"/>
      <c r="J87" s="305"/>
      <c r="K87" s="95" t="s">
        <v>245</v>
      </c>
    </row>
    <row r="88" spans="1:11" ht="38.25" x14ac:dyDescent="0.2">
      <c r="A88" s="145" t="s">
        <v>1628</v>
      </c>
      <c r="B88" s="145">
        <v>133</v>
      </c>
      <c r="C88" s="145">
        <v>133</v>
      </c>
      <c r="D88" s="145">
        <v>1</v>
      </c>
      <c r="E88" s="145" t="s">
        <v>1411</v>
      </c>
      <c r="F88" s="145" t="s">
        <v>1412</v>
      </c>
      <c r="G88" s="365" t="s">
        <v>2750</v>
      </c>
      <c r="H88" s="392" t="s">
        <v>1421</v>
      </c>
      <c r="I88" s="378" t="s">
        <v>1422</v>
      </c>
      <c r="J88" s="378"/>
      <c r="K88" s="121" t="s">
        <v>2751</v>
      </c>
    </row>
    <row r="89" spans="1:11" x14ac:dyDescent="0.2">
      <c r="A89" s="145" t="s">
        <v>1629</v>
      </c>
      <c r="B89" s="145">
        <v>134</v>
      </c>
      <c r="C89" s="145">
        <v>148</v>
      </c>
      <c r="D89" s="145">
        <v>15</v>
      </c>
      <c r="E89" s="145" t="s">
        <v>1411</v>
      </c>
      <c r="F89" s="145" t="s">
        <v>1412</v>
      </c>
      <c r="G89" s="365"/>
      <c r="H89" s="367"/>
      <c r="I89" s="378" t="s">
        <v>1424</v>
      </c>
      <c r="J89" s="378"/>
      <c r="K89" s="121" t="s">
        <v>250</v>
      </c>
    </row>
    <row r="90" spans="1:11" x14ac:dyDescent="0.2">
      <c r="A90" s="145" t="s">
        <v>1630</v>
      </c>
      <c r="B90" s="145">
        <v>149</v>
      </c>
      <c r="C90" s="145">
        <v>188</v>
      </c>
      <c r="D90" s="145">
        <v>40</v>
      </c>
      <c r="E90" s="145" t="s">
        <v>1411</v>
      </c>
      <c r="F90" s="145" t="s">
        <v>1419</v>
      </c>
      <c r="G90" s="365"/>
      <c r="H90" s="340" t="s">
        <v>19</v>
      </c>
      <c r="I90" s="341"/>
      <c r="J90" s="342"/>
      <c r="K90" s="147" t="s">
        <v>2741</v>
      </c>
    </row>
    <row r="91" spans="1:11" ht="25.5" x14ac:dyDescent="0.2">
      <c r="A91" s="145" t="s">
        <v>1631</v>
      </c>
      <c r="B91" s="145">
        <v>189</v>
      </c>
      <c r="C91" s="145">
        <v>198</v>
      </c>
      <c r="D91" s="145">
        <v>10</v>
      </c>
      <c r="E91" s="145" t="s">
        <v>1411</v>
      </c>
      <c r="F91" s="145" t="s">
        <v>1412</v>
      </c>
      <c r="G91" s="341" t="s">
        <v>3</v>
      </c>
      <c r="H91" s="303"/>
      <c r="I91" s="303"/>
      <c r="J91" s="304"/>
      <c r="K91" s="147" t="s">
        <v>2763</v>
      </c>
    </row>
    <row r="92" spans="1:11" x14ac:dyDescent="0.2">
      <c r="A92" s="145" t="s">
        <v>1632</v>
      </c>
      <c r="B92" s="145">
        <v>199</v>
      </c>
      <c r="C92" s="145">
        <v>213</v>
      </c>
      <c r="D92" s="145">
        <v>13</v>
      </c>
      <c r="E92" s="145">
        <v>2</v>
      </c>
      <c r="F92" s="145" t="s">
        <v>1412</v>
      </c>
      <c r="G92" s="340" t="s">
        <v>1633</v>
      </c>
      <c r="H92" s="303"/>
      <c r="I92" s="303"/>
      <c r="J92" s="304"/>
      <c r="K92" s="147" t="s">
        <v>1634</v>
      </c>
    </row>
    <row r="93" spans="1:11" ht="38.25" x14ac:dyDescent="0.2">
      <c r="A93" s="145" t="s">
        <v>1635</v>
      </c>
      <c r="B93" s="145">
        <v>214</v>
      </c>
      <c r="C93" s="145">
        <v>223</v>
      </c>
      <c r="D93" s="145">
        <v>10</v>
      </c>
      <c r="E93" s="145" t="s">
        <v>1411</v>
      </c>
      <c r="F93" s="146" t="s">
        <v>1419</v>
      </c>
      <c r="G93" s="340" t="s">
        <v>1636</v>
      </c>
      <c r="H93" s="303"/>
      <c r="I93" s="303"/>
      <c r="J93" s="304"/>
      <c r="K93" s="135" t="s">
        <v>1647</v>
      </c>
    </row>
    <row r="94" spans="1:11" x14ac:dyDescent="0.2">
      <c r="A94" s="145" t="s">
        <v>1637</v>
      </c>
      <c r="B94" s="145">
        <v>224</v>
      </c>
      <c r="C94" s="145">
        <v>240</v>
      </c>
      <c r="D94" s="145">
        <v>17</v>
      </c>
      <c r="E94" s="145" t="s">
        <v>1411</v>
      </c>
      <c r="F94" s="145" t="s">
        <v>1419</v>
      </c>
      <c r="G94" s="340" t="s">
        <v>1418</v>
      </c>
      <c r="H94" s="303"/>
      <c r="I94" s="303"/>
      <c r="J94" s="304"/>
      <c r="K94" s="147" t="s">
        <v>1524</v>
      </c>
    </row>
    <row r="95" spans="1:11" x14ac:dyDescent="0.2">
      <c r="A95" s="103"/>
      <c r="B95" s="111"/>
    </row>
    <row r="96" spans="1:11" x14ac:dyDescent="0.2">
      <c r="A96" s="308" t="s">
        <v>1648</v>
      </c>
      <c r="B96" s="308"/>
      <c r="C96" s="308"/>
      <c r="D96" s="308"/>
      <c r="E96" s="308"/>
      <c r="F96" s="308"/>
      <c r="G96" s="308"/>
      <c r="H96" s="308"/>
      <c r="I96" s="308"/>
      <c r="J96" s="308"/>
      <c r="K96" s="308"/>
    </row>
    <row r="97" spans="1:13" x14ac:dyDescent="0.2">
      <c r="A97" s="309" t="s">
        <v>112</v>
      </c>
      <c r="B97" s="310" t="s">
        <v>1403</v>
      </c>
      <c r="C97" s="310"/>
      <c r="D97" s="106" t="s">
        <v>1404</v>
      </c>
      <c r="E97" s="106" t="s">
        <v>1404</v>
      </c>
      <c r="F97" s="309" t="s">
        <v>1381</v>
      </c>
      <c r="G97" s="311" t="s">
        <v>1466</v>
      </c>
      <c r="H97" s="311"/>
      <c r="I97" s="311"/>
      <c r="J97" s="311"/>
      <c r="K97" s="311"/>
    </row>
    <row r="98" spans="1:13" x14ac:dyDescent="0.2">
      <c r="A98" s="318"/>
      <c r="B98" s="109" t="s">
        <v>1405</v>
      </c>
      <c r="C98" s="109" t="s">
        <v>1406</v>
      </c>
      <c r="D98" s="109" t="s">
        <v>1407</v>
      </c>
      <c r="E98" s="109" t="s">
        <v>1408</v>
      </c>
      <c r="F98" s="318"/>
      <c r="G98" s="346"/>
      <c r="H98" s="346"/>
      <c r="I98" s="346"/>
      <c r="J98" s="346"/>
      <c r="K98" s="311"/>
    </row>
    <row r="99" spans="1:13" ht="15" x14ac:dyDescent="0.25">
      <c r="A99" s="145" t="s">
        <v>1649</v>
      </c>
      <c r="B99" s="145">
        <v>1</v>
      </c>
      <c r="C99" s="145">
        <v>3</v>
      </c>
      <c r="D99" s="151">
        <v>3</v>
      </c>
      <c r="E99" s="151" t="s">
        <v>1411</v>
      </c>
      <c r="F99" s="145" t="s">
        <v>1412</v>
      </c>
      <c r="G99" s="380" t="s">
        <v>1410</v>
      </c>
      <c r="H99" s="391" t="s">
        <v>38</v>
      </c>
      <c r="I99" s="391"/>
      <c r="J99" s="391"/>
      <c r="K99" s="144" t="s">
        <v>1468</v>
      </c>
      <c r="L99" s="120"/>
    </row>
    <row r="100" spans="1:13" ht="51" x14ac:dyDescent="0.25">
      <c r="A100" s="145" t="s">
        <v>1650</v>
      </c>
      <c r="B100" s="145">
        <v>4</v>
      </c>
      <c r="C100" s="145">
        <v>7</v>
      </c>
      <c r="D100" s="151">
        <v>4</v>
      </c>
      <c r="E100" s="151" t="s">
        <v>1411</v>
      </c>
      <c r="F100" s="145" t="s">
        <v>1412</v>
      </c>
      <c r="G100" s="380"/>
      <c r="H100" s="391" t="s">
        <v>1414</v>
      </c>
      <c r="I100" s="391"/>
      <c r="J100" s="391"/>
      <c r="K100" s="147" t="s">
        <v>1520</v>
      </c>
      <c r="L100" s="120"/>
    </row>
    <row r="101" spans="1:13" ht="15" x14ac:dyDescent="0.25">
      <c r="A101" s="145" t="s">
        <v>1651</v>
      </c>
      <c r="B101" s="145">
        <v>8</v>
      </c>
      <c r="C101" s="145">
        <v>8</v>
      </c>
      <c r="D101" s="151">
        <v>1</v>
      </c>
      <c r="E101" s="151" t="s">
        <v>1411</v>
      </c>
      <c r="F101" s="145" t="s">
        <v>1412</v>
      </c>
      <c r="G101" s="380"/>
      <c r="H101" s="391" t="s">
        <v>1416</v>
      </c>
      <c r="I101" s="391"/>
      <c r="J101" s="391"/>
      <c r="K101" s="144" t="s">
        <v>230</v>
      </c>
      <c r="L101" s="120"/>
    </row>
    <row r="102" spans="1:13" ht="51" customHeight="1" x14ac:dyDescent="0.25">
      <c r="A102" s="145" t="s">
        <v>1652</v>
      </c>
      <c r="B102" s="145">
        <v>9</v>
      </c>
      <c r="C102" s="145">
        <v>13</v>
      </c>
      <c r="D102" s="151">
        <v>5</v>
      </c>
      <c r="E102" s="151" t="s">
        <v>1411</v>
      </c>
      <c r="F102" s="145" t="s">
        <v>1412</v>
      </c>
      <c r="G102" s="360" t="s">
        <v>1701</v>
      </c>
      <c r="H102" s="368" t="s">
        <v>1571</v>
      </c>
      <c r="I102" s="368"/>
      <c r="J102" s="368"/>
      <c r="K102" s="147" t="s">
        <v>231</v>
      </c>
      <c r="L102" s="120"/>
    </row>
    <row r="103" spans="1:13" ht="15" x14ac:dyDescent="0.25">
      <c r="A103" s="145" t="s">
        <v>1653</v>
      </c>
      <c r="B103" s="145">
        <v>14</v>
      </c>
      <c r="C103" s="145">
        <v>14</v>
      </c>
      <c r="D103" s="151">
        <v>1</v>
      </c>
      <c r="E103" s="151" t="s">
        <v>1411</v>
      </c>
      <c r="F103" s="145" t="s">
        <v>1419</v>
      </c>
      <c r="G103" s="387"/>
      <c r="H103" s="368" t="s">
        <v>1572</v>
      </c>
      <c r="I103" s="368"/>
      <c r="J103" s="368"/>
      <c r="K103" s="147" t="s">
        <v>1721</v>
      </c>
      <c r="L103" s="120"/>
    </row>
    <row r="104" spans="1:13" s="1" customFormat="1" ht="15" x14ac:dyDescent="0.25">
      <c r="A104" s="145" t="s">
        <v>1654</v>
      </c>
      <c r="B104" s="145">
        <v>15</v>
      </c>
      <c r="C104" s="145">
        <v>15</v>
      </c>
      <c r="D104" s="151">
        <v>1</v>
      </c>
      <c r="E104" s="151" t="s">
        <v>1411</v>
      </c>
      <c r="F104" s="145" t="s">
        <v>1419</v>
      </c>
      <c r="G104" s="387"/>
      <c r="H104" s="368" t="s">
        <v>1418</v>
      </c>
      <c r="I104" s="368"/>
      <c r="J104" s="368"/>
      <c r="K104" s="152" t="s">
        <v>1524</v>
      </c>
      <c r="L104" s="120"/>
    </row>
    <row r="105" spans="1:13" ht="390.75" customHeight="1" x14ac:dyDescent="0.25">
      <c r="A105" s="360" t="s">
        <v>1655</v>
      </c>
      <c r="B105" s="360">
        <v>16</v>
      </c>
      <c r="C105" s="360">
        <v>17</v>
      </c>
      <c r="D105" s="360">
        <v>2</v>
      </c>
      <c r="E105" s="360" t="s">
        <v>1411</v>
      </c>
      <c r="F105" s="360" t="s">
        <v>1412</v>
      </c>
      <c r="G105" s="387"/>
      <c r="H105" s="381" t="s">
        <v>1677</v>
      </c>
      <c r="I105" s="382"/>
      <c r="J105" s="383"/>
      <c r="K105" s="157" t="s">
        <v>2756</v>
      </c>
      <c r="L105" s="120"/>
    </row>
    <row r="106" spans="1:13" ht="263.25" customHeight="1" x14ac:dyDescent="0.25">
      <c r="A106" s="361"/>
      <c r="B106" s="361"/>
      <c r="C106" s="361"/>
      <c r="D106" s="361"/>
      <c r="E106" s="361"/>
      <c r="F106" s="361"/>
      <c r="G106" s="361"/>
      <c r="H106" s="384"/>
      <c r="I106" s="385"/>
      <c r="J106" s="386"/>
      <c r="K106" s="158" t="s">
        <v>2764</v>
      </c>
      <c r="L106" s="120"/>
    </row>
    <row r="107" spans="1:13" ht="25.5" x14ac:dyDescent="0.25">
      <c r="A107" s="145" t="s">
        <v>1656</v>
      </c>
      <c r="B107" s="145">
        <v>18</v>
      </c>
      <c r="C107" s="145">
        <v>32</v>
      </c>
      <c r="D107" s="151">
        <v>13</v>
      </c>
      <c r="E107" s="151">
        <v>2</v>
      </c>
      <c r="F107" s="145" t="s">
        <v>1412</v>
      </c>
      <c r="G107" s="360" t="s">
        <v>1673</v>
      </c>
      <c r="H107" s="379" t="s">
        <v>1678</v>
      </c>
      <c r="I107" s="379"/>
      <c r="J107" s="379"/>
      <c r="K107" s="156" t="s">
        <v>1684</v>
      </c>
      <c r="L107" s="120"/>
      <c r="M107" s="153"/>
    </row>
    <row r="108" spans="1:13" ht="15" x14ac:dyDescent="0.25">
      <c r="A108" s="145" t="s">
        <v>1657</v>
      </c>
      <c r="B108" s="145">
        <v>33</v>
      </c>
      <c r="C108" s="145">
        <v>47</v>
      </c>
      <c r="D108" s="151">
        <v>13</v>
      </c>
      <c r="E108" s="151">
        <v>2</v>
      </c>
      <c r="F108" s="145" t="s">
        <v>1412</v>
      </c>
      <c r="G108" s="387"/>
      <c r="H108" s="379" t="s">
        <v>1687</v>
      </c>
      <c r="I108" s="379"/>
      <c r="J108" s="379"/>
      <c r="K108" s="141" t="s">
        <v>1686</v>
      </c>
      <c r="L108" s="120"/>
      <c r="M108" s="153"/>
    </row>
    <row r="109" spans="1:13" ht="15" x14ac:dyDescent="0.25">
      <c r="A109" s="145" t="s">
        <v>1658</v>
      </c>
      <c r="B109" s="145">
        <v>48</v>
      </c>
      <c r="C109" s="145">
        <v>62</v>
      </c>
      <c r="D109" s="151">
        <v>13</v>
      </c>
      <c r="E109" s="151">
        <v>2</v>
      </c>
      <c r="F109" s="145" t="s">
        <v>1412</v>
      </c>
      <c r="G109" s="387"/>
      <c r="H109" s="379" t="s">
        <v>1688</v>
      </c>
      <c r="I109" s="379"/>
      <c r="J109" s="379"/>
      <c r="K109" s="141" t="s">
        <v>1685</v>
      </c>
      <c r="L109" s="120"/>
      <c r="M109" s="153"/>
    </row>
    <row r="110" spans="1:13" ht="25.5" x14ac:dyDescent="0.25">
      <c r="A110" s="145" t="s">
        <v>1659</v>
      </c>
      <c r="B110" s="145">
        <v>63</v>
      </c>
      <c r="C110" s="145">
        <v>77</v>
      </c>
      <c r="D110" s="151">
        <v>13</v>
      </c>
      <c r="E110" s="151">
        <v>2</v>
      </c>
      <c r="F110" s="145" t="s">
        <v>1412</v>
      </c>
      <c r="G110" s="387"/>
      <c r="H110" s="379" t="s">
        <v>1689</v>
      </c>
      <c r="I110" s="379"/>
      <c r="J110" s="379"/>
      <c r="K110" s="141" t="s">
        <v>1690</v>
      </c>
      <c r="L110" s="120"/>
      <c r="M110" s="153"/>
    </row>
    <row r="111" spans="1:13" ht="25.5" x14ac:dyDescent="0.25">
      <c r="A111" s="145" t="s">
        <v>1660</v>
      </c>
      <c r="B111" s="145">
        <v>78</v>
      </c>
      <c r="C111" s="145">
        <v>92</v>
      </c>
      <c r="D111" s="151">
        <v>13</v>
      </c>
      <c r="E111" s="151">
        <v>2</v>
      </c>
      <c r="F111" s="145" t="s">
        <v>1412</v>
      </c>
      <c r="G111" s="387"/>
      <c r="H111" s="379" t="s">
        <v>1691</v>
      </c>
      <c r="I111" s="379"/>
      <c r="J111" s="379"/>
      <c r="K111" s="141" t="s">
        <v>2757</v>
      </c>
      <c r="L111" s="120"/>
      <c r="M111" s="153"/>
    </row>
    <row r="112" spans="1:13" ht="15" customHeight="1" x14ac:dyDescent="0.25">
      <c r="A112" s="145" t="s">
        <v>1661</v>
      </c>
      <c r="B112" s="145">
        <v>93</v>
      </c>
      <c r="C112" s="145">
        <v>107</v>
      </c>
      <c r="D112" s="151">
        <v>13</v>
      </c>
      <c r="E112" s="151">
        <v>2</v>
      </c>
      <c r="F112" s="145" t="s">
        <v>1412</v>
      </c>
      <c r="G112" s="387"/>
      <c r="H112" s="379" t="s">
        <v>1693</v>
      </c>
      <c r="I112" s="379"/>
      <c r="J112" s="379"/>
      <c r="K112" s="141" t="s">
        <v>1692</v>
      </c>
      <c r="L112" s="120"/>
      <c r="M112" s="153"/>
    </row>
    <row r="113" spans="1:12" ht="15" x14ac:dyDescent="0.25">
      <c r="A113" s="145" t="s">
        <v>1662</v>
      </c>
      <c r="B113" s="145">
        <v>108</v>
      </c>
      <c r="C113" s="145">
        <v>122</v>
      </c>
      <c r="D113" s="151">
        <v>13</v>
      </c>
      <c r="E113" s="151">
        <v>2</v>
      </c>
      <c r="F113" s="151" t="s">
        <v>1412</v>
      </c>
      <c r="G113" s="375" t="s">
        <v>1674</v>
      </c>
      <c r="H113" s="376"/>
      <c r="I113" s="376"/>
      <c r="J113" s="377"/>
      <c r="K113" s="141" t="s">
        <v>1694</v>
      </c>
      <c r="L113" s="120"/>
    </row>
    <row r="114" spans="1:12" ht="15" x14ac:dyDescent="0.25">
      <c r="A114" s="145" t="s">
        <v>1663</v>
      </c>
      <c r="B114" s="145">
        <v>123</v>
      </c>
      <c r="C114" s="145">
        <v>137</v>
      </c>
      <c r="D114" s="151">
        <v>13</v>
      </c>
      <c r="E114" s="151">
        <v>2</v>
      </c>
      <c r="F114" s="151" t="s">
        <v>1412</v>
      </c>
      <c r="G114" s="375" t="s">
        <v>1675</v>
      </c>
      <c r="H114" s="376"/>
      <c r="I114" s="376"/>
      <c r="J114" s="377"/>
      <c r="K114" s="141" t="s">
        <v>1695</v>
      </c>
      <c r="L114" s="120"/>
    </row>
    <row r="115" spans="1:12" ht="63.75" x14ac:dyDescent="0.25">
      <c r="A115" s="145" t="s">
        <v>1664</v>
      </c>
      <c r="B115" s="145">
        <v>138</v>
      </c>
      <c r="C115" s="145">
        <v>145</v>
      </c>
      <c r="D115" s="151">
        <v>8</v>
      </c>
      <c r="E115" s="151" t="s">
        <v>1411</v>
      </c>
      <c r="F115" s="151" t="s">
        <v>1412</v>
      </c>
      <c r="G115" s="375" t="s">
        <v>1676</v>
      </c>
      <c r="H115" s="376"/>
      <c r="I115" s="376"/>
      <c r="J115" s="377"/>
      <c r="K115" s="141" t="s">
        <v>1696</v>
      </c>
      <c r="L115" s="120"/>
    </row>
    <row r="116" spans="1:12" ht="63.75" x14ac:dyDescent="0.25">
      <c r="A116" s="145" t="s">
        <v>1665</v>
      </c>
      <c r="B116" s="145">
        <v>146</v>
      </c>
      <c r="C116" s="145">
        <v>153</v>
      </c>
      <c r="D116" s="151">
        <v>8</v>
      </c>
      <c r="E116" s="151" t="s">
        <v>1411</v>
      </c>
      <c r="F116" s="151" t="s">
        <v>1412</v>
      </c>
      <c r="G116" s="375" t="s">
        <v>1519</v>
      </c>
      <c r="H116" s="376"/>
      <c r="I116" s="376"/>
      <c r="J116" s="377"/>
      <c r="K116" s="141" t="s">
        <v>1696</v>
      </c>
      <c r="L116" s="120"/>
    </row>
    <row r="117" spans="1:12" ht="15" x14ac:dyDescent="0.25">
      <c r="A117" s="145" t="s">
        <v>1666</v>
      </c>
      <c r="B117" s="145">
        <v>154</v>
      </c>
      <c r="C117" s="145">
        <v>157</v>
      </c>
      <c r="D117" s="151">
        <v>4</v>
      </c>
      <c r="E117" s="151" t="s">
        <v>1411</v>
      </c>
      <c r="F117" s="145" t="s">
        <v>1419</v>
      </c>
      <c r="G117" s="389" t="s">
        <v>2758</v>
      </c>
      <c r="H117" s="340" t="s">
        <v>1430</v>
      </c>
      <c r="I117" s="341"/>
      <c r="J117" s="342"/>
      <c r="K117" s="141" t="s">
        <v>1697</v>
      </c>
      <c r="L117" s="120"/>
    </row>
    <row r="118" spans="1:12" ht="15" customHeight="1" x14ac:dyDescent="0.25">
      <c r="A118" s="145" t="s">
        <v>1667</v>
      </c>
      <c r="B118" s="145">
        <v>158</v>
      </c>
      <c r="C118" s="145">
        <v>165</v>
      </c>
      <c r="D118" s="151">
        <v>8</v>
      </c>
      <c r="E118" s="151" t="s">
        <v>1411</v>
      </c>
      <c r="F118" s="145" t="s">
        <v>1419</v>
      </c>
      <c r="G118" s="389"/>
      <c r="H118" s="337" t="s">
        <v>1679</v>
      </c>
      <c r="I118" s="338"/>
      <c r="J118" s="339"/>
      <c r="K118" s="141" t="s">
        <v>1699</v>
      </c>
      <c r="L118" s="120"/>
    </row>
    <row r="119" spans="1:12" ht="15" x14ac:dyDescent="0.25">
      <c r="A119" s="145" t="s">
        <v>1668</v>
      </c>
      <c r="B119" s="145">
        <v>166</v>
      </c>
      <c r="C119" s="145">
        <v>180</v>
      </c>
      <c r="D119" s="151">
        <v>13</v>
      </c>
      <c r="E119" s="151">
        <v>2</v>
      </c>
      <c r="F119" s="145" t="s">
        <v>1412</v>
      </c>
      <c r="G119" s="389"/>
      <c r="H119" s="340" t="s">
        <v>1680</v>
      </c>
      <c r="I119" s="341"/>
      <c r="J119" s="342"/>
      <c r="K119" s="141" t="s">
        <v>1698</v>
      </c>
      <c r="L119" s="120"/>
    </row>
    <row r="120" spans="1:12" ht="15" customHeight="1" x14ac:dyDescent="0.25">
      <c r="A120" s="145" t="s">
        <v>1669</v>
      </c>
      <c r="B120" s="145">
        <v>181</v>
      </c>
      <c r="C120" s="145">
        <v>210</v>
      </c>
      <c r="D120" s="151">
        <v>30</v>
      </c>
      <c r="E120" s="151" t="s">
        <v>1411</v>
      </c>
      <c r="F120" s="145" t="s">
        <v>1419</v>
      </c>
      <c r="G120" s="390"/>
      <c r="H120" s="340" t="s">
        <v>1681</v>
      </c>
      <c r="I120" s="341"/>
      <c r="J120" s="342"/>
      <c r="K120" s="141" t="s">
        <v>1697</v>
      </c>
      <c r="L120" s="120"/>
    </row>
    <row r="121" spans="1:12" ht="51" x14ac:dyDescent="0.25">
      <c r="A121" s="145" t="s">
        <v>1670</v>
      </c>
      <c r="B121" s="145">
        <v>211</v>
      </c>
      <c r="C121" s="145">
        <v>213</v>
      </c>
      <c r="D121" s="151">
        <v>3</v>
      </c>
      <c r="E121" s="151" t="s">
        <v>1411</v>
      </c>
      <c r="F121" s="151" t="s">
        <v>1412</v>
      </c>
      <c r="G121" s="375" t="s">
        <v>1682</v>
      </c>
      <c r="H121" s="376"/>
      <c r="I121" s="376"/>
      <c r="J121" s="377"/>
      <c r="K121" s="154" t="s">
        <v>2759</v>
      </c>
      <c r="L121" s="120"/>
    </row>
    <row r="122" spans="1:12" x14ac:dyDescent="0.2">
      <c r="A122" s="145" t="s">
        <v>1671</v>
      </c>
      <c r="B122" s="145">
        <v>214</v>
      </c>
      <c r="C122" s="145">
        <v>233</v>
      </c>
      <c r="D122" s="151">
        <v>20</v>
      </c>
      <c r="E122" s="151" t="s">
        <v>1411</v>
      </c>
      <c r="F122" s="151" t="s">
        <v>1412</v>
      </c>
      <c r="G122" s="375" t="s">
        <v>1683</v>
      </c>
      <c r="H122" s="376"/>
      <c r="I122" s="376"/>
      <c r="J122" s="377"/>
      <c r="K122" s="147" t="s">
        <v>1700</v>
      </c>
    </row>
    <row r="123" spans="1:12" x14ac:dyDescent="0.2">
      <c r="A123" s="145" t="s">
        <v>1672</v>
      </c>
      <c r="B123" s="145">
        <v>234</v>
      </c>
      <c r="C123" s="145">
        <v>240</v>
      </c>
      <c r="D123" s="151">
        <v>7</v>
      </c>
      <c r="E123" s="151" t="s">
        <v>1411</v>
      </c>
      <c r="F123" s="151" t="s">
        <v>1419</v>
      </c>
      <c r="G123" s="375" t="s">
        <v>1418</v>
      </c>
      <c r="H123" s="376"/>
      <c r="I123" s="376"/>
      <c r="J123" s="377"/>
      <c r="K123" s="95" t="s">
        <v>1524</v>
      </c>
    </row>
    <row r="125" spans="1:12" x14ac:dyDescent="0.2">
      <c r="A125" s="308" t="s">
        <v>1332</v>
      </c>
      <c r="B125" s="308"/>
      <c r="C125" s="308"/>
      <c r="D125" s="308"/>
      <c r="E125" s="308"/>
      <c r="F125" s="308"/>
      <c r="G125" s="308"/>
      <c r="H125" s="308"/>
      <c r="I125" s="308"/>
      <c r="J125" s="308"/>
      <c r="K125" s="308"/>
    </row>
    <row r="126" spans="1:12" x14ac:dyDescent="0.2">
      <c r="A126" s="309" t="s">
        <v>112</v>
      </c>
      <c r="B126" s="310" t="s">
        <v>1403</v>
      </c>
      <c r="C126" s="310"/>
      <c r="D126" s="106" t="s">
        <v>1404</v>
      </c>
      <c r="E126" s="106" t="s">
        <v>1404</v>
      </c>
      <c r="F126" s="309" t="s">
        <v>1381</v>
      </c>
      <c r="G126" s="311" t="s">
        <v>1466</v>
      </c>
      <c r="H126" s="311"/>
      <c r="I126" s="311"/>
      <c r="J126" s="311"/>
      <c r="K126" s="311"/>
    </row>
    <row r="127" spans="1:12" x14ac:dyDescent="0.2">
      <c r="A127" s="318"/>
      <c r="B127" s="109" t="s">
        <v>1405</v>
      </c>
      <c r="C127" s="109" t="s">
        <v>1406</v>
      </c>
      <c r="D127" s="109" t="s">
        <v>1407</v>
      </c>
      <c r="E127" s="109" t="s">
        <v>1408</v>
      </c>
      <c r="F127" s="309"/>
      <c r="G127" s="346"/>
      <c r="H127" s="346"/>
      <c r="I127" s="346"/>
      <c r="J127" s="346"/>
      <c r="K127" s="346"/>
    </row>
    <row r="128" spans="1:12" x14ac:dyDescent="0.2">
      <c r="A128" s="104" t="s">
        <v>1333</v>
      </c>
      <c r="B128" s="110">
        <v>1</v>
      </c>
      <c r="C128" s="110">
        <v>3</v>
      </c>
      <c r="D128" s="110">
        <v>3</v>
      </c>
      <c r="E128" s="110" t="s">
        <v>1411</v>
      </c>
      <c r="F128" s="104" t="s">
        <v>1412</v>
      </c>
      <c r="G128" s="301" t="s">
        <v>1410</v>
      </c>
      <c r="H128" s="301" t="s">
        <v>38</v>
      </c>
      <c r="I128" s="301"/>
      <c r="J128" s="301"/>
      <c r="K128" s="95" t="s">
        <v>4</v>
      </c>
    </row>
    <row r="129" spans="1:11" ht="51" x14ac:dyDescent="0.2">
      <c r="A129" s="104" t="s">
        <v>1334</v>
      </c>
      <c r="B129" s="110">
        <v>4</v>
      </c>
      <c r="C129" s="110">
        <v>7</v>
      </c>
      <c r="D129" s="110">
        <v>4</v>
      </c>
      <c r="E129" s="110" t="s">
        <v>1411</v>
      </c>
      <c r="F129" s="104" t="s">
        <v>1412</v>
      </c>
      <c r="G129" s="301"/>
      <c r="H129" s="301" t="s">
        <v>1414</v>
      </c>
      <c r="I129" s="301"/>
      <c r="J129" s="301"/>
      <c r="K129" s="95" t="s">
        <v>1520</v>
      </c>
    </row>
    <row r="130" spans="1:11" x14ac:dyDescent="0.2">
      <c r="A130" s="104" t="s">
        <v>1335</v>
      </c>
      <c r="B130" s="110">
        <v>8</v>
      </c>
      <c r="C130" s="110">
        <v>8</v>
      </c>
      <c r="D130" s="110">
        <v>1</v>
      </c>
      <c r="E130" s="110" t="s">
        <v>1411</v>
      </c>
      <c r="F130" s="104" t="s">
        <v>1412</v>
      </c>
      <c r="G130" s="301"/>
      <c r="H130" s="301" t="s">
        <v>1416</v>
      </c>
      <c r="I130" s="301"/>
      <c r="J130" s="301"/>
      <c r="K130" s="95" t="s">
        <v>1359</v>
      </c>
    </row>
    <row r="131" spans="1:11" x14ac:dyDescent="0.2">
      <c r="A131" s="104" t="s">
        <v>1336</v>
      </c>
      <c r="B131" s="110">
        <v>9</v>
      </c>
      <c r="C131" s="110">
        <v>17</v>
      </c>
      <c r="D131" s="110">
        <v>9</v>
      </c>
      <c r="E131" s="110" t="s">
        <v>1411</v>
      </c>
      <c r="F131" s="104" t="s">
        <v>1419</v>
      </c>
      <c r="G131" s="301" t="s">
        <v>1418</v>
      </c>
      <c r="H131" s="301"/>
      <c r="I131" s="301"/>
      <c r="J131" s="301"/>
      <c r="K131" s="95" t="s">
        <v>1524</v>
      </c>
    </row>
    <row r="132" spans="1:11" x14ac:dyDescent="0.2">
      <c r="A132" s="104" t="s">
        <v>1337</v>
      </c>
      <c r="B132" s="110">
        <v>18</v>
      </c>
      <c r="C132" s="110">
        <v>23</v>
      </c>
      <c r="D132" s="110">
        <v>6</v>
      </c>
      <c r="E132" s="110" t="s">
        <v>1411</v>
      </c>
      <c r="F132" s="104" t="s">
        <v>1412</v>
      </c>
      <c r="G132" s="301" t="s">
        <v>1349</v>
      </c>
      <c r="H132" s="301"/>
      <c r="I132" s="301"/>
      <c r="J132" s="301"/>
      <c r="K132" s="147" t="s">
        <v>1718</v>
      </c>
    </row>
    <row r="133" spans="1:11" x14ac:dyDescent="0.2">
      <c r="A133" s="104" t="s">
        <v>1338</v>
      </c>
      <c r="B133" s="110">
        <v>24</v>
      </c>
      <c r="C133" s="110">
        <v>29</v>
      </c>
      <c r="D133" s="110">
        <v>6</v>
      </c>
      <c r="E133" s="110" t="s">
        <v>1411</v>
      </c>
      <c r="F133" s="104" t="s">
        <v>1412</v>
      </c>
      <c r="G133" s="301" t="s">
        <v>1351</v>
      </c>
      <c r="H133" s="301"/>
      <c r="I133" s="301"/>
      <c r="J133" s="301"/>
      <c r="K133" s="95" t="s">
        <v>1352</v>
      </c>
    </row>
    <row r="134" spans="1:11" x14ac:dyDescent="0.2">
      <c r="A134" s="104" t="s">
        <v>1339</v>
      </c>
      <c r="B134" s="110">
        <v>30</v>
      </c>
      <c r="C134" s="110">
        <v>46</v>
      </c>
      <c r="D134" s="110">
        <v>15</v>
      </c>
      <c r="E134" s="110">
        <v>2</v>
      </c>
      <c r="F134" s="104" t="s">
        <v>1412</v>
      </c>
      <c r="G134" s="301"/>
      <c r="H134" s="301"/>
      <c r="I134" s="301"/>
      <c r="J134" s="301"/>
      <c r="K134" s="95" t="s">
        <v>1353</v>
      </c>
    </row>
    <row r="135" spans="1:11" x14ac:dyDescent="0.2">
      <c r="A135" s="104" t="s">
        <v>1340</v>
      </c>
      <c r="B135" s="110">
        <v>47</v>
      </c>
      <c r="C135" s="110">
        <v>52</v>
      </c>
      <c r="D135" s="110">
        <v>6</v>
      </c>
      <c r="E135" s="110" t="s">
        <v>1411</v>
      </c>
      <c r="F135" s="104" t="s">
        <v>1412</v>
      </c>
      <c r="G135" s="301" t="s">
        <v>1354</v>
      </c>
      <c r="H135" s="301"/>
      <c r="I135" s="301"/>
      <c r="J135" s="301"/>
      <c r="K135" s="95" t="s">
        <v>1352</v>
      </c>
    </row>
    <row r="136" spans="1:11" x14ac:dyDescent="0.2">
      <c r="A136" s="104" t="s">
        <v>1341</v>
      </c>
      <c r="B136" s="110">
        <v>53</v>
      </c>
      <c r="C136" s="110">
        <v>69</v>
      </c>
      <c r="D136" s="110">
        <v>15</v>
      </c>
      <c r="E136" s="110">
        <v>2</v>
      </c>
      <c r="F136" s="104" t="s">
        <v>1412</v>
      </c>
      <c r="G136" s="301"/>
      <c r="H136" s="301"/>
      <c r="I136" s="301"/>
      <c r="J136" s="301"/>
      <c r="K136" s="95" t="s">
        <v>1353</v>
      </c>
    </row>
    <row r="137" spans="1:11" x14ac:dyDescent="0.2">
      <c r="A137" s="104" t="s">
        <v>1342</v>
      </c>
      <c r="B137" s="110">
        <v>70</v>
      </c>
      <c r="C137" s="110">
        <v>75</v>
      </c>
      <c r="D137" s="110">
        <v>6</v>
      </c>
      <c r="E137" s="110" t="s">
        <v>1411</v>
      </c>
      <c r="F137" s="104" t="s">
        <v>1412</v>
      </c>
      <c r="G137" s="301" t="s">
        <v>1355</v>
      </c>
      <c r="H137" s="301"/>
      <c r="I137" s="301"/>
      <c r="J137" s="301"/>
      <c r="K137" s="95" t="s">
        <v>1352</v>
      </c>
    </row>
    <row r="138" spans="1:11" x14ac:dyDescent="0.2">
      <c r="A138" s="104" t="s">
        <v>1343</v>
      </c>
      <c r="B138" s="110">
        <v>76</v>
      </c>
      <c r="C138" s="110">
        <v>92</v>
      </c>
      <c r="D138" s="110">
        <v>15</v>
      </c>
      <c r="E138" s="110">
        <v>2</v>
      </c>
      <c r="F138" s="104" t="s">
        <v>1412</v>
      </c>
      <c r="G138" s="301"/>
      <c r="H138" s="301"/>
      <c r="I138" s="301"/>
      <c r="J138" s="301"/>
      <c r="K138" s="95" t="s">
        <v>1356</v>
      </c>
    </row>
    <row r="139" spans="1:11" x14ac:dyDescent="0.2">
      <c r="A139" s="104" t="s">
        <v>1344</v>
      </c>
      <c r="B139" s="110">
        <v>93</v>
      </c>
      <c r="C139" s="110">
        <v>98</v>
      </c>
      <c r="D139" s="110">
        <v>6</v>
      </c>
      <c r="E139" s="110" t="s">
        <v>1411</v>
      </c>
      <c r="F139" s="104" t="s">
        <v>1348</v>
      </c>
      <c r="G139" s="301" t="s">
        <v>1357</v>
      </c>
      <c r="H139" s="301"/>
      <c r="I139" s="301"/>
      <c r="J139" s="301"/>
      <c r="K139" s="95" t="s">
        <v>1352</v>
      </c>
    </row>
    <row r="140" spans="1:11" x14ac:dyDescent="0.2">
      <c r="A140" s="104" t="s">
        <v>1345</v>
      </c>
      <c r="B140" s="110">
        <v>99</v>
      </c>
      <c r="C140" s="110">
        <v>115</v>
      </c>
      <c r="D140" s="110">
        <v>15</v>
      </c>
      <c r="E140" s="110">
        <v>2</v>
      </c>
      <c r="F140" s="104" t="s">
        <v>1412</v>
      </c>
      <c r="G140" s="301"/>
      <c r="H140" s="301"/>
      <c r="I140" s="301"/>
      <c r="J140" s="301"/>
      <c r="K140" s="95" t="s">
        <v>1353</v>
      </c>
    </row>
    <row r="141" spans="1:11" x14ac:dyDescent="0.2">
      <c r="A141" s="104" t="s">
        <v>1346</v>
      </c>
      <c r="B141" s="110">
        <v>116</v>
      </c>
      <c r="C141" s="110">
        <v>123</v>
      </c>
      <c r="D141" s="110">
        <v>8</v>
      </c>
      <c r="E141" s="110" t="s">
        <v>1411</v>
      </c>
      <c r="F141" s="104" t="s">
        <v>1419</v>
      </c>
      <c r="G141" s="301" t="s">
        <v>1358</v>
      </c>
      <c r="H141" s="301"/>
      <c r="I141" s="301"/>
      <c r="J141" s="301"/>
      <c r="K141" s="95" t="s">
        <v>1360</v>
      </c>
    </row>
    <row r="142" spans="1:11" x14ac:dyDescent="0.2">
      <c r="A142" s="104" t="s">
        <v>1347</v>
      </c>
      <c r="B142" s="110">
        <v>124</v>
      </c>
      <c r="C142" s="110">
        <v>240</v>
      </c>
      <c r="D142" s="110">
        <v>117</v>
      </c>
      <c r="E142" s="110" t="s">
        <v>1411</v>
      </c>
      <c r="F142" s="104" t="s">
        <v>1419</v>
      </c>
      <c r="G142" s="301" t="s">
        <v>1418</v>
      </c>
      <c r="H142" s="301"/>
      <c r="I142" s="301"/>
      <c r="J142" s="301"/>
      <c r="K142" s="95" t="s">
        <v>1524</v>
      </c>
    </row>
    <row r="144" spans="1:11" x14ac:dyDescent="0.2">
      <c r="A144" s="308" t="s">
        <v>1361</v>
      </c>
      <c r="B144" s="308"/>
      <c r="C144" s="308"/>
      <c r="D144" s="308"/>
      <c r="E144" s="308"/>
      <c r="F144" s="308"/>
      <c r="G144" s="308"/>
      <c r="H144" s="308"/>
      <c r="I144" s="308"/>
      <c r="J144" s="308"/>
      <c r="K144" s="308"/>
    </row>
    <row r="145" spans="1:11" x14ac:dyDescent="0.2">
      <c r="A145" s="309" t="s">
        <v>112</v>
      </c>
      <c r="B145" s="310" t="s">
        <v>1403</v>
      </c>
      <c r="C145" s="310"/>
      <c r="D145" s="106" t="s">
        <v>1404</v>
      </c>
      <c r="E145" s="106" t="s">
        <v>1404</v>
      </c>
      <c r="F145" s="309" t="s">
        <v>1381</v>
      </c>
      <c r="G145" s="311" t="s">
        <v>1466</v>
      </c>
      <c r="H145" s="311"/>
      <c r="I145" s="311"/>
      <c r="J145" s="311"/>
      <c r="K145" s="311"/>
    </row>
    <row r="146" spans="1:11" x14ac:dyDescent="0.2">
      <c r="A146" s="318"/>
      <c r="B146" s="109" t="s">
        <v>1405</v>
      </c>
      <c r="C146" s="109" t="s">
        <v>1406</v>
      </c>
      <c r="D146" s="109" t="s">
        <v>1407</v>
      </c>
      <c r="E146" s="109" t="s">
        <v>1408</v>
      </c>
      <c r="F146" s="309"/>
      <c r="G146" s="346"/>
      <c r="H146" s="346"/>
      <c r="I146" s="346"/>
      <c r="J146" s="346"/>
      <c r="K146" s="346"/>
    </row>
    <row r="147" spans="1:11" x14ac:dyDescent="0.2">
      <c r="A147" s="104" t="s">
        <v>1362</v>
      </c>
      <c r="B147" s="110">
        <v>1</v>
      </c>
      <c r="C147" s="110">
        <v>3</v>
      </c>
      <c r="D147" s="110">
        <v>3</v>
      </c>
      <c r="E147" s="110" t="s">
        <v>1411</v>
      </c>
      <c r="F147" s="104" t="s">
        <v>1412</v>
      </c>
      <c r="G147" s="301" t="s">
        <v>1410</v>
      </c>
      <c r="H147" s="301"/>
      <c r="I147" s="301" t="s">
        <v>38</v>
      </c>
      <c r="J147" s="301"/>
      <c r="K147" s="95" t="s">
        <v>4</v>
      </c>
    </row>
    <row r="148" spans="1:11" x14ac:dyDescent="0.2">
      <c r="A148" s="104" t="s">
        <v>1363</v>
      </c>
      <c r="B148" s="110">
        <v>4</v>
      </c>
      <c r="C148" s="110">
        <v>7</v>
      </c>
      <c r="D148" s="110">
        <v>4</v>
      </c>
      <c r="E148" s="110" t="s">
        <v>1411</v>
      </c>
      <c r="F148" s="104" t="s">
        <v>1412</v>
      </c>
      <c r="G148" s="301"/>
      <c r="H148" s="301"/>
      <c r="I148" s="301" t="s">
        <v>1414</v>
      </c>
      <c r="J148" s="301"/>
      <c r="K148" s="147" t="s">
        <v>1724</v>
      </c>
    </row>
    <row r="149" spans="1:11" x14ac:dyDescent="0.2">
      <c r="A149" s="104" t="s">
        <v>1364</v>
      </c>
      <c r="B149" s="110">
        <v>8</v>
      </c>
      <c r="C149" s="110">
        <v>8</v>
      </c>
      <c r="D149" s="110">
        <v>1</v>
      </c>
      <c r="E149" s="110" t="s">
        <v>1411</v>
      </c>
      <c r="F149" s="104" t="s">
        <v>1412</v>
      </c>
      <c r="G149" s="301"/>
      <c r="H149" s="301"/>
      <c r="I149" s="301" t="s">
        <v>1416</v>
      </c>
      <c r="J149" s="301"/>
      <c r="K149" s="95" t="s">
        <v>1376</v>
      </c>
    </row>
    <row r="150" spans="1:11" x14ac:dyDescent="0.2">
      <c r="A150" s="104" t="s">
        <v>1365</v>
      </c>
      <c r="B150" s="110">
        <v>9</v>
      </c>
      <c r="C150" s="110">
        <v>17</v>
      </c>
      <c r="D150" s="110">
        <v>9</v>
      </c>
      <c r="E150" s="110" t="s">
        <v>1411</v>
      </c>
      <c r="F150" s="104" t="s">
        <v>1419</v>
      </c>
      <c r="G150" s="301" t="s">
        <v>1418</v>
      </c>
      <c r="H150" s="301"/>
      <c r="I150" s="301"/>
      <c r="J150" s="301"/>
      <c r="K150" s="95" t="s">
        <v>1524</v>
      </c>
    </row>
    <row r="151" spans="1:11" x14ac:dyDescent="0.2">
      <c r="A151" s="104" t="s">
        <v>1366</v>
      </c>
      <c r="B151" s="110">
        <v>18</v>
      </c>
      <c r="C151" s="110">
        <v>23</v>
      </c>
      <c r="D151" s="110">
        <v>6</v>
      </c>
      <c r="E151" s="110" t="s">
        <v>1411</v>
      </c>
      <c r="F151" s="104" t="s">
        <v>1412</v>
      </c>
      <c r="G151" s="301" t="s">
        <v>1370</v>
      </c>
      <c r="H151" s="301"/>
      <c r="I151" s="301" t="s">
        <v>1371</v>
      </c>
      <c r="J151" s="301"/>
      <c r="K151" s="95" t="s">
        <v>1372</v>
      </c>
    </row>
    <row r="152" spans="1:11" x14ac:dyDescent="0.2">
      <c r="A152" s="104" t="s">
        <v>1367</v>
      </c>
      <c r="B152" s="110">
        <v>24</v>
      </c>
      <c r="C152" s="110">
        <v>29</v>
      </c>
      <c r="D152" s="110">
        <v>6</v>
      </c>
      <c r="E152" s="110" t="s">
        <v>1411</v>
      </c>
      <c r="F152" s="104" t="s">
        <v>1412</v>
      </c>
      <c r="G152" s="301"/>
      <c r="H152" s="301"/>
      <c r="I152" s="301" t="s">
        <v>1373</v>
      </c>
      <c r="J152" s="301"/>
      <c r="K152" s="95" t="s">
        <v>1374</v>
      </c>
    </row>
    <row r="153" spans="1:11" x14ac:dyDescent="0.2">
      <c r="A153" s="104" t="s">
        <v>1368</v>
      </c>
      <c r="B153" s="110">
        <v>30</v>
      </c>
      <c r="C153" s="110">
        <v>35</v>
      </c>
      <c r="D153" s="110">
        <v>6</v>
      </c>
      <c r="E153" s="110" t="s">
        <v>1411</v>
      </c>
      <c r="F153" s="104" t="s">
        <v>1412</v>
      </c>
      <c r="G153" s="301"/>
      <c r="H153" s="301"/>
      <c r="I153" s="301" t="s">
        <v>1375</v>
      </c>
      <c r="J153" s="301"/>
      <c r="K153" s="95" t="s">
        <v>1377</v>
      </c>
    </row>
    <row r="154" spans="1:11" x14ac:dyDescent="0.2">
      <c r="A154" s="104" t="s">
        <v>1369</v>
      </c>
      <c r="B154" s="110">
        <v>36</v>
      </c>
      <c r="C154" s="110">
        <v>240</v>
      </c>
      <c r="D154" s="110">
        <v>205</v>
      </c>
      <c r="E154" s="110" t="s">
        <v>1411</v>
      </c>
      <c r="F154" s="104" t="s">
        <v>1419</v>
      </c>
      <c r="G154" s="301" t="s">
        <v>1418</v>
      </c>
      <c r="H154" s="301"/>
      <c r="I154" s="301"/>
      <c r="J154" s="301"/>
      <c r="K154" s="95" t="s">
        <v>1524</v>
      </c>
    </row>
    <row r="180" spans="5:5" x14ac:dyDescent="0.2">
      <c r="E180" s="148"/>
    </row>
  </sheetData>
  <sheetProtection password="C44C" sheet="1" objects="1" scenarios="1"/>
  <mergeCells count="191">
    <mergeCell ref="G91:J91"/>
    <mergeCell ref="G117:G120"/>
    <mergeCell ref="H120:J120"/>
    <mergeCell ref="H119:J119"/>
    <mergeCell ref="H118:J118"/>
    <mergeCell ref="A96:K96"/>
    <mergeCell ref="H107:J107"/>
    <mergeCell ref="G87:J87"/>
    <mergeCell ref="H103:J103"/>
    <mergeCell ref="H101:J101"/>
    <mergeCell ref="H100:J100"/>
    <mergeCell ref="H99:J99"/>
    <mergeCell ref="G107:G112"/>
    <mergeCell ref="H112:J112"/>
    <mergeCell ref="H104:J104"/>
    <mergeCell ref="H88:H89"/>
    <mergeCell ref="A1:K1"/>
    <mergeCell ref="M1:M2"/>
    <mergeCell ref="A3:K3"/>
    <mergeCell ref="A4:A5"/>
    <mergeCell ref="B4:C4"/>
    <mergeCell ref="D4:D5"/>
    <mergeCell ref="E4:E5"/>
    <mergeCell ref="F4:F5"/>
    <mergeCell ref="G4:K5"/>
    <mergeCell ref="G6:G8"/>
    <mergeCell ref="H6:J6"/>
    <mergeCell ref="H7:J7"/>
    <mergeCell ref="H8:J8"/>
    <mergeCell ref="G9:J9"/>
    <mergeCell ref="G10:G18"/>
    <mergeCell ref="H10:H11"/>
    <mergeCell ref="I10:J10"/>
    <mergeCell ref="I11:J11"/>
    <mergeCell ref="H12:J12"/>
    <mergeCell ref="H13:H17"/>
    <mergeCell ref="I13:I14"/>
    <mergeCell ref="I15:I16"/>
    <mergeCell ref="I17:J17"/>
    <mergeCell ref="H18:J18"/>
    <mergeCell ref="G19:J19"/>
    <mergeCell ref="G20:J20"/>
    <mergeCell ref="G21:G27"/>
    <mergeCell ref="H21:J21"/>
    <mergeCell ref="H22:J22"/>
    <mergeCell ref="H23:J23"/>
    <mergeCell ref="H24:J24"/>
    <mergeCell ref="H25:J25"/>
    <mergeCell ref="H26:J27"/>
    <mergeCell ref="A26:A27"/>
    <mergeCell ref="B26:B27"/>
    <mergeCell ref="C26:C27"/>
    <mergeCell ref="D26:D27"/>
    <mergeCell ref="E26:E27"/>
    <mergeCell ref="F26:F27"/>
    <mergeCell ref="K26:K27"/>
    <mergeCell ref="G28:J28"/>
    <mergeCell ref="G29:J29"/>
    <mergeCell ref="G30:J30"/>
    <mergeCell ref="B31:K31"/>
    <mergeCell ref="B32:K32"/>
    <mergeCell ref="B33:K33"/>
    <mergeCell ref="A35:K35"/>
    <mergeCell ref="A36:A37"/>
    <mergeCell ref="B36:C36"/>
    <mergeCell ref="F36:F37"/>
    <mergeCell ref="G36:K37"/>
    <mergeCell ref="G38:G40"/>
    <mergeCell ref="H38:J38"/>
    <mergeCell ref="H39:J39"/>
    <mergeCell ref="H40:J40"/>
    <mergeCell ref="G41:G44"/>
    <mergeCell ref="H41:J41"/>
    <mergeCell ref="H42:J42"/>
    <mergeCell ref="H43:J43"/>
    <mergeCell ref="H44:J44"/>
    <mergeCell ref="G45:J45"/>
    <mergeCell ref="G46:G54"/>
    <mergeCell ref="H46:H47"/>
    <mergeCell ref="I46:J46"/>
    <mergeCell ref="I47:J47"/>
    <mergeCell ref="H48:J48"/>
    <mergeCell ref="H49:H53"/>
    <mergeCell ref="I49:I50"/>
    <mergeCell ref="I51:I52"/>
    <mergeCell ref="I53:J53"/>
    <mergeCell ref="G63:K64"/>
    <mergeCell ref="H54:J54"/>
    <mergeCell ref="G55:J55"/>
    <mergeCell ref="G56:J56"/>
    <mergeCell ref="G57:H58"/>
    <mergeCell ref="I57:J57"/>
    <mergeCell ref="I58:J58"/>
    <mergeCell ref="G65:G67"/>
    <mergeCell ref="H65:J65"/>
    <mergeCell ref="H66:J66"/>
    <mergeCell ref="H67:J67"/>
    <mergeCell ref="G59:J59"/>
    <mergeCell ref="G60:J60"/>
    <mergeCell ref="A62:K62"/>
    <mergeCell ref="A63:A64"/>
    <mergeCell ref="B63:C63"/>
    <mergeCell ref="F63:F64"/>
    <mergeCell ref="H130:J130"/>
    <mergeCell ref="B97:C97"/>
    <mergeCell ref="H108:J108"/>
    <mergeCell ref="H110:J110"/>
    <mergeCell ref="H109:J109"/>
    <mergeCell ref="A105:A106"/>
    <mergeCell ref="B105:B106"/>
    <mergeCell ref="C105:C106"/>
    <mergeCell ref="G99:G101"/>
    <mergeCell ref="H105:J106"/>
    <mergeCell ref="G102:G106"/>
    <mergeCell ref="F97:F98"/>
    <mergeCell ref="G97:K98"/>
    <mergeCell ref="H102:J102"/>
    <mergeCell ref="A97:A98"/>
    <mergeCell ref="D105:D106"/>
    <mergeCell ref="E105:E106"/>
    <mergeCell ref="F105:F106"/>
    <mergeCell ref="H117:J117"/>
    <mergeCell ref="G113:J113"/>
    <mergeCell ref="G114:J114"/>
    <mergeCell ref="G115:J115"/>
    <mergeCell ref="G116:J116"/>
    <mergeCell ref="H111:J111"/>
    <mergeCell ref="G154:J154"/>
    <mergeCell ref="I89:J89"/>
    <mergeCell ref="I88:J88"/>
    <mergeCell ref="H90:J90"/>
    <mergeCell ref="G94:J94"/>
    <mergeCell ref="G93:J93"/>
    <mergeCell ref="G92:J92"/>
    <mergeCell ref="A145:A146"/>
    <mergeCell ref="B145:C145"/>
    <mergeCell ref="F145:F146"/>
    <mergeCell ref="G145:K146"/>
    <mergeCell ref="G147:H149"/>
    <mergeCell ref="I147:J147"/>
    <mergeCell ref="I148:J148"/>
    <mergeCell ref="I149:J149"/>
    <mergeCell ref="G150:J150"/>
    <mergeCell ref="G131:J131"/>
    <mergeCell ref="G132:J132"/>
    <mergeCell ref="G133:J134"/>
    <mergeCell ref="G135:J136"/>
    <mergeCell ref="G137:J138"/>
    <mergeCell ref="G139:J140"/>
    <mergeCell ref="G141:J141"/>
    <mergeCell ref="G142:J142"/>
    <mergeCell ref="A71:A72"/>
    <mergeCell ref="G84:J84"/>
    <mergeCell ref="G82:J82"/>
    <mergeCell ref="G81:J81"/>
    <mergeCell ref="G80:J80"/>
    <mergeCell ref="G79:J79"/>
    <mergeCell ref="G83:J83"/>
    <mergeCell ref="G78:J78"/>
    <mergeCell ref="G151:H153"/>
    <mergeCell ref="I151:J151"/>
    <mergeCell ref="I152:J152"/>
    <mergeCell ref="I153:J153"/>
    <mergeCell ref="A144:K144"/>
    <mergeCell ref="G121:J121"/>
    <mergeCell ref="G122:J122"/>
    <mergeCell ref="G123:J123"/>
    <mergeCell ref="A125:K125"/>
    <mergeCell ref="A126:A127"/>
    <mergeCell ref="B126:C126"/>
    <mergeCell ref="F126:F127"/>
    <mergeCell ref="G126:K127"/>
    <mergeCell ref="G128:G130"/>
    <mergeCell ref="H128:J128"/>
    <mergeCell ref="H129:J129"/>
    <mergeCell ref="K71:K72"/>
    <mergeCell ref="H71:J72"/>
    <mergeCell ref="F71:F72"/>
    <mergeCell ref="E71:E72"/>
    <mergeCell ref="D71:D72"/>
    <mergeCell ref="G68:G72"/>
    <mergeCell ref="G88:G90"/>
    <mergeCell ref="C71:C72"/>
    <mergeCell ref="B71:B72"/>
    <mergeCell ref="I73:I74"/>
    <mergeCell ref="I75:I76"/>
    <mergeCell ref="I77:J77"/>
    <mergeCell ref="H73:H77"/>
    <mergeCell ref="G85:J85"/>
    <mergeCell ref="G86:J86"/>
    <mergeCell ref="G73:G77"/>
  </mergeCells>
  <pageMargins left="0.51181102362204722" right="0.51181102362204722" top="0.78740157480314965" bottom="0.78740157480314965" header="0.31496062992125984" footer="0.31496062992125984"/>
  <pageSetup paperSize="9" scale="30" fitToWidth="0" fitToHeight="0" orientation="portrait" r:id="rId1"/>
  <rowBreaks count="5" manualBreakCount="5">
    <brk id="33" max="16383" man="1"/>
    <brk id="60" max="16383" man="1"/>
    <brk id="94" max="16383" man="1"/>
    <brk id="114" max="16383" man="1"/>
    <brk id="123" max="16383" man="1"/>
  </rowBreak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BJ65"/>
  <sheetViews>
    <sheetView showGridLines="0" tabSelected="1" zoomScale="85" zoomScaleNormal="85" workbookViewId="0">
      <selection activeCell="B8" sqref="B8"/>
    </sheetView>
  </sheetViews>
  <sheetFormatPr defaultRowHeight="12.75" x14ac:dyDescent="0.2"/>
  <cols>
    <col min="1" max="1" width="32.5703125" style="25" customWidth="1"/>
    <col min="2" max="2" width="34.42578125" style="29" customWidth="1"/>
    <col min="3" max="3" width="3" style="29" customWidth="1"/>
    <col min="4" max="45" width="3" style="25" customWidth="1"/>
    <col min="46" max="46" width="2" style="25" bestFit="1" customWidth="1"/>
    <col min="47" max="57" width="3" style="25" customWidth="1"/>
    <col min="58" max="16384" width="9.140625" style="25"/>
  </cols>
  <sheetData>
    <row r="1" spans="1:62" x14ac:dyDescent="0.2">
      <c r="A1" s="393" t="s">
        <v>49</v>
      </c>
      <c r="B1" s="393"/>
      <c r="T1" s="415" t="s">
        <v>1236</v>
      </c>
      <c r="U1" s="415"/>
    </row>
    <row r="2" spans="1:62" x14ac:dyDescent="0.2">
      <c r="A2" s="24" t="s">
        <v>36</v>
      </c>
      <c r="B2" s="128" t="str">
        <f>LEFT('01.Capa'!I6,4)</f>
        <v/>
      </c>
      <c r="T2" s="415"/>
      <c r="U2" s="415"/>
    </row>
    <row r="3" spans="1:62" x14ac:dyDescent="0.2">
      <c r="A3" s="162" t="s">
        <v>2765</v>
      </c>
      <c r="B3" s="129">
        <f>'01.Capa'!I10</f>
        <v>0</v>
      </c>
    </row>
    <row r="4" spans="1:62" x14ac:dyDescent="0.2">
      <c r="A4" s="40" t="s">
        <v>45</v>
      </c>
      <c r="B4" s="130">
        <f>'01.Capa'!D11</f>
        <v>0</v>
      </c>
    </row>
    <row r="5" spans="1:62" x14ac:dyDescent="0.2">
      <c r="A5" s="24" t="s">
        <v>50</v>
      </c>
      <c r="B5" s="131"/>
    </row>
    <row r="6" spans="1:62" x14ac:dyDescent="0.2">
      <c r="A6" s="24" t="s">
        <v>44</v>
      </c>
      <c r="B6" s="134"/>
    </row>
    <row r="7" spans="1:62" x14ac:dyDescent="0.2">
      <c r="A7" s="138" t="s">
        <v>1603</v>
      </c>
      <c r="B7" s="132"/>
    </row>
    <row r="8" spans="1:62" x14ac:dyDescent="0.2">
      <c r="A8" s="40" t="s">
        <v>41</v>
      </c>
      <c r="B8" s="133"/>
    </row>
    <row r="9" spans="1:62" x14ac:dyDescent="0.2">
      <c r="A9" s="44" t="s">
        <v>51</v>
      </c>
      <c r="B9" s="406"/>
      <c r="C9" s="407"/>
      <c r="D9" s="407"/>
      <c r="E9" s="407"/>
      <c r="F9" s="407"/>
      <c r="G9" s="407"/>
      <c r="H9" s="41"/>
      <c r="I9" s="41"/>
      <c r="J9" s="41"/>
      <c r="K9" s="41"/>
      <c r="L9" s="41"/>
      <c r="M9" s="41"/>
    </row>
    <row r="10" spans="1:62" ht="29.25" customHeight="1" thickBot="1" x14ac:dyDescent="0.25">
      <c r="A10" s="413" t="s">
        <v>1604</v>
      </c>
      <c r="B10" s="414"/>
    </row>
    <row r="11" spans="1:62" ht="71.25" customHeight="1" x14ac:dyDescent="0.2">
      <c r="A11" s="39" t="s">
        <v>52</v>
      </c>
      <c r="C11" s="396" t="s">
        <v>38</v>
      </c>
      <c r="D11" s="397"/>
      <c r="E11" s="398"/>
      <c r="F11" s="54" t="s">
        <v>39</v>
      </c>
      <c r="G11" s="55" t="s">
        <v>42</v>
      </c>
      <c r="I11" s="399" t="s">
        <v>35</v>
      </c>
      <c r="J11" s="400"/>
      <c r="K11" s="400"/>
      <c r="L11" s="401"/>
      <c r="M11" s="77" t="s">
        <v>57</v>
      </c>
      <c r="O11" s="447" t="s">
        <v>43</v>
      </c>
      <c r="P11" s="448"/>
      <c r="Q11" s="403" t="s">
        <v>34</v>
      </c>
      <c r="R11" s="404"/>
      <c r="S11" s="404"/>
      <c r="T11" s="404"/>
      <c r="U11" s="404"/>
      <c r="V11" s="404"/>
      <c r="W11" s="404"/>
      <c r="X11" s="405"/>
      <c r="Y11" s="75" t="s">
        <v>32</v>
      </c>
      <c r="Z11" s="76" t="s">
        <v>58</v>
      </c>
      <c r="AA11" s="65"/>
      <c r="AB11" s="402" t="s">
        <v>32</v>
      </c>
      <c r="AC11" s="394"/>
      <c r="AD11" s="394"/>
      <c r="AE11" s="394"/>
      <c r="AF11" s="394"/>
      <c r="AG11" s="394"/>
      <c r="AH11" s="394"/>
      <c r="AI11" s="395"/>
      <c r="AJ11" s="424" t="s">
        <v>44</v>
      </c>
      <c r="AK11" s="425"/>
      <c r="AL11" s="426"/>
      <c r="AM11" s="78" t="s">
        <v>59</v>
      </c>
      <c r="AO11" s="79" t="s">
        <v>60</v>
      </c>
      <c r="AQ11" s="427" t="s">
        <v>40</v>
      </c>
      <c r="AR11" s="428"/>
      <c r="AS11" s="428"/>
      <c r="AT11" s="429"/>
      <c r="AU11" s="417" t="s">
        <v>41</v>
      </c>
      <c r="AV11" s="418"/>
      <c r="AW11" s="418"/>
      <c r="AX11" s="418"/>
      <c r="AY11" s="418"/>
      <c r="AZ11" s="418"/>
      <c r="BA11" s="418"/>
      <c r="BB11" s="418"/>
      <c r="BC11" s="418"/>
      <c r="BD11" s="419"/>
    </row>
    <row r="12" spans="1:62" x14ac:dyDescent="0.2">
      <c r="A12" s="408" t="s">
        <v>53</v>
      </c>
      <c r="B12" s="409"/>
      <c r="C12" s="66" t="str">
        <f>MID($B9,1,1)</f>
        <v/>
      </c>
      <c r="D12" s="42" t="str">
        <f>MID($B9,2,1)</f>
        <v/>
      </c>
      <c r="E12" s="67" t="str">
        <f>MID($B9,3,1)</f>
        <v/>
      </c>
      <c r="F12" s="71" t="str">
        <f>MID($B9,4,1)</f>
        <v/>
      </c>
      <c r="G12" s="71" t="str">
        <f>MID($B9,5,1)</f>
        <v/>
      </c>
      <c r="H12" s="63" t="s">
        <v>55</v>
      </c>
      <c r="I12" s="66" t="str">
        <f>MID($B9,6,1)</f>
        <v/>
      </c>
      <c r="J12" s="42" t="str">
        <f>MID($B9,7,1)</f>
        <v/>
      </c>
      <c r="K12" s="42" t="str">
        <f>MID($B9,8,1)</f>
        <v/>
      </c>
      <c r="L12" s="67" t="str">
        <f>MID($B9,9,1)</f>
        <v/>
      </c>
      <c r="M12" s="71" t="str">
        <f>MID($B9,10,1)</f>
        <v/>
      </c>
      <c r="N12" s="73"/>
      <c r="O12" s="66" t="str">
        <f>MID($B9,11,1)</f>
        <v/>
      </c>
      <c r="P12" s="67" t="str">
        <f>MID($B9,12,1)</f>
        <v/>
      </c>
      <c r="Q12" s="66" t="str">
        <f>MID($B9,13,1)</f>
        <v/>
      </c>
      <c r="R12" s="42" t="str">
        <f>MID($B9,14,1)</f>
        <v/>
      </c>
      <c r="S12" s="42" t="str">
        <f>MID($B9,15,1)</f>
        <v/>
      </c>
      <c r="T12" s="43" t="s">
        <v>55</v>
      </c>
      <c r="U12" s="42" t="str">
        <f>MID($B9,16,1)</f>
        <v/>
      </c>
      <c r="V12" s="42" t="str">
        <f>MID($B9,17,1)</f>
        <v/>
      </c>
      <c r="W12" s="42" t="str">
        <f>MID($B9,18,1)</f>
        <v/>
      </c>
      <c r="X12" s="67" t="str">
        <f>MID($B9,19,1)</f>
        <v/>
      </c>
      <c r="Y12" s="71" t="str">
        <f>MID($B9,20,1)</f>
        <v/>
      </c>
      <c r="Z12" s="71" t="str">
        <f>MID($B9,21,1)</f>
        <v/>
      </c>
      <c r="AA12" s="73"/>
      <c r="AB12" s="66" t="str">
        <f>MID($B9,22,1)</f>
        <v/>
      </c>
      <c r="AC12" s="42" t="str">
        <f>MID($B9,23,1)</f>
        <v/>
      </c>
      <c r="AD12" s="42" t="str">
        <f>MID($B9,24,1)</f>
        <v/>
      </c>
      <c r="AE12" s="42" t="str">
        <f>MID($B9,25,1)</f>
        <v/>
      </c>
      <c r="AF12" s="42" t="str">
        <f>MID($B9,26,1)</f>
        <v/>
      </c>
      <c r="AG12" s="43" t="s">
        <v>55</v>
      </c>
      <c r="AH12" s="42" t="str">
        <f>MID($B9,27,1)</f>
        <v/>
      </c>
      <c r="AI12" s="67" t="str">
        <f>MID($B9,28,1)</f>
        <v/>
      </c>
      <c r="AJ12" s="66" t="str">
        <f>MID($B9,29,1)</f>
        <v/>
      </c>
      <c r="AK12" s="42" t="str">
        <f>MID($B9,30,1)</f>
        <v/>
      </c>
      <c r="AL12" s="67" t="str">
        <f>MID($B9,31,1)</f>
        <v/>
      </c>
      <c r="AM12" s="71" t="str">
        <f>MID($B9,32,1)</f>
        <v/>
      </c>
      <c r="AN12" s="73"/>
      <c r="AO12" s="71" t="str">
        <f>MID($B9,33,1)</f>
        <v/>
      </c>
      <c r="AP12" s="73"/>
      <c r="AQ12" s="66" t="str">
        <f>MID($B9,34,1)</f>
        <v/>
      </c>
      <c r="AR12" s="42" t="str">
        <f>MID($B9,35,1)</f>
        <v/>
      </c>
      <c r="AS12" s="42" t="str">
        <f>MID($B9,36,1)</f>
        <v/>
      </c>
      <c r="AT12" s="67" t="str">
        <f>MID($B9,37,1)</f>
        <v/>
      </c>
      <c r="AU12" s="66" t="str">
        <f>MID($B9,38,1)</f>
        <v/>
      </c>
      <c r="AV12" s="42" t="str">
        <f>MID($B9,39,1)</f>
        <v/>
      </c>
      <c r="AW12" s="42" t="str">
        <f>MID($B9,40,1)</f>
        <v/>
      </c>
      <c r="AX12" s="42" t="str">
        <f>MID($B9,41,1)</f>
        <v/>
      </c>
      <c r="AY12" s="42" t="str">
        <f>MID($B9,42,1)</f>
        <v/>
      </c>
      <c r="AZ12" s="42" t="str">
        <f>MID($B9,43,1)</f>
        <v/>
      </c>
      <c r="BA12" s="42" t="str">
        <f>MID($B9,44,1)</f>
        <v/>
      </c>
      <c r="BB12" s="42" t="str">
        <f>MID($B9,45,1)</f>
        <v/>
      </c>
      <c r="BC12" s="42" t="str">
        <f>MID($B9,46,1)</f>
        <v/>
      </c>
      <c r="BD12" s="67" t="str">
        <f>MID($B9,47,1)</f>
        <v/>
      </c>
      <c r="BE12" s="29"/>
    </row>
    <row r="13" spans="1:62" x14ac:dyDescent="0.2">
      <c r="A13" s="408" t="s">
        <v>54</v>
      </c>
      <c r="B13" s="409"/>
      <c r="C13" s="66">
        <f>C28</f>
        <v>7</v>
      </c>
      <c r="D13" s="42">
        <f>D28</f>
        <v>5</v>
      </c>
      <c r="E13" s="67">
        <f>E28</f>
        <v>6</v>
      </c>
      <c r="F13" s="71">
        <f>F28</f>
        <v>9</v>
      </c>
      <c r="G13" s="71">
        <f>G28</f>
        <v>3</v>
      </c>
      <c r="H13" s="63" t="s">
        <v>55</v>
      </c>
      <c r="I13" s="66" t="str">
        <f>H28</f>
        <v/>
      </c>
      <c r="J13" s="42" t="str">
        <f>I28</f>
        <v/>
      </c>
      <c r="K13" s="42" t="str">
        <f>J28</f>
        <v/>
      </c>
      <c r="L13" s="67" t="str">
        <f>K28</f>
        <v/>
      </c>
      <c r="M13" s="71" t="e">
        <f>L31</f>
        <v>#VALUE!</v>
      </c>
      <c r="N13" s="73"/>
      <c r="O13" s="66" t="str">
        <f>M28</f>
        <v>0</v>
      </c>
      <c r="P13" s="67" t="str">
        <f>N28</f>
        <v>3</v>
      </c>
      <c r="Q13" s="66" t="str">
        <f>O28</f>
        <v>0</v>
      </c>
      <c r="R13" s="42" t="str">
        <f>P28</f>
        <v>0</v>
      </c>
      <c r="S13" s="42" t="str">
        <f>Q28</f>
        <v>0</v>
      </c>
      <c r="T13" s="43" t="s">
        <v>55</v>
      </c>
      <c r="U13" s="42" t="str">
        <f>R28</f>
        <v>0</v>
      </c>
      <c r="V13" s="42" t="str">
        <f>S28</f>
        <v>0</v>
      </c>
      <c r="W13" s="42" t="str">
        <f>T28</f>
        <v>0</v>
      </c>
      <c r="X13" s="67" t="str">
        <f>U28</f>
        <v>0</v>
      </c>
      <c r="Y13" s="71" t="str">
        <f>V28</f>
        <v>0</v>
      </c>
      <c r="Z13" s="71">
        <f>W31</f>
        <v>4</v>
      </c>
      <c r="AA13" s="73"/>
      <c r="AB13" s="66" t="str">
        <f>X28</f>
        <v>0</v>
      </c>
      <c r="AC13" s="42" t="str">
        <f>Y28</f>
        <v>0</v>
      </c>
      <c r="AD13" s="42" t="str">
        <f>Z28</f>
        <v>0</v>
      </c>
      <c r="AE13" s="42" t="str">
        <f>AA28</f>
        <v>0</v>
      </c>
      <c r="AF13" s="42" t="str">
        <f>AB28</f>
        <v>0</v>
      </c>
      <c r="AG13" s="43" t="s">
        <v>55</v>
      </c>
      <c r="AH13" s="42" t="str">
        <f>AC28</f>
        <v>0</v>
      </c>
      <c r="AI13" s="67" t="e">
        <f>AD28</f>
        <v>#VALUE!</v>
      </c>
      <c r="AJ13" s="66" t="str">
        <f>AE28</f>
        <v>0</v>
      </c>
      <c r="AK13" s="42" t="str">
        <f>AF28</f>
        <v>0</v>
      </c>
      <c r="AL13" s="67" t="str">
        <f>AG28</f>
        <v>0</v>
      </c>
      <c r="AM13" s="71" t="e">
        <f>AH31</f>
        <v>#VALUE!</v>
      </c>
      <c r="AN13" s="73"/>
      <c r="AO13" s="71" t="e">
        <f>AT41</f>
        <v>#VALUE!</v>
      </c>
      <c r="AP13" s="73"/>
      <c r="AQ13" s="66" t="str">
        <f t="shared" ref="AQ13:BD13" si="0">H38</f>
        <v>0</v>
      </c>
      <c r="AR13" s="42" t="str">
        <f t="shared" si="0"/>
        <v>0</v>
      </c>
      <c r="AS13" s="42" t="str">
        <f t="shared" si="0"/>
        <v>0</v>
      </c>
      <c r="AT13" s="67" t="str">
        <f t="shared" si="0"/>
        <v>0</v>
      </c>
      <c r="AU13" s="66" t="str">
        <f t="shared" si="0"/>
        <v>0</v>
      </c>
      <c r="AV13" s="42" t="str">
        <f t="shared" si="0"/>
        <v>0</v>
      </c>
      <c r="AW13" s="42" t="str">
        <f t="shared" si="0"/>
        <v>0</v>
      </c>
      <c r="AX13" s="42" t="str">
        <f t="shared" si="0"/>
        <v>0</v>
      </c>
      <c r="AY13" s="42" t="str">
        <f t="shared" si="0"/>
        <v>0</v>
      </c>
      <c r="AZ13" s="42" t="str">
        <f t="shared" si="0"/>
        <v>0</v>
      </c>
      <c r="BA13" s="42" t="str">
        <f t="shared" si="0"/>
        <v>0</v>
      </c>
      <c r="BB13" s="42" t="str">
        <f t="shared" si="0"/>
        <v>0</v>
      </c>
      <c r="BC13" s="42" t="str">
        <f t="shared" si="0"/>
        <v>0</v>
      </c>
      <c r="BD13" s="67" t="str">
        <f t="shared" si="0"/>
        <v>0</v>
      </c>
      <c r="BE13" s="29"/>
      <c r="BJ13" s="29"/>
    </row>
    <row r="14" spans="1:62" ht="13.5" thickBot="1" x14ac:dyDescent="0.25">
      <c r="A14" s="416" t="s">
        <v>56</v>
      </c>
      <c r="B14" s="410" t="str">
        <f>IF(ISERROR(HLOOKUP("X",C14:BD14,1,FALSE)),"Pré-homologação Concluída! Envie dois boletos-teste em formato PDF (formato obrigatório) para a Cooperativa onde o associado possua sua conta corrente a fim de finalizar a homologação.","Verifique a(s) diferença(s) -&gt;")</f>
        <v>Verifique a(s) diferença(s) -&gt;</v>
      </c>
      <c r="C14" s="68" t="str">
        <f>IF(C54=C55,"","X")</f>
        <v>X</v>
      </c>
      <c r="D14" s="69" t="str">
        <f>IF(D54=D55,"","X")</f>
        <v>X</v>
      </c>
      <c r="E14" s="70" t="str">
        <f>IF(E54=E55,"","X")</f>
        <v>X</v>
      </c>
      <c r="F14" s="72" t="str">
        <f>IF(F54=F55,"","X")</f>
        <v>X</v>
      </c>
      <c r="G14" s="72" t="str">
        <f>IF(G54=G55,"","X")</f>
        <v>X</v>
      </c>
      <c r="H14" s="74"/>
      <c r="I14" s="68" t="str">
        <f>IF(I54=I55,"","X")</f>
        <v/>
      </c>
      <c r="J14" s="69" t="str">
        <f>IF(J54=J55,"","X")</f>
        <v/>
      </c>
      <c r="K14" s="69" t="str">
        <f>IF(K54=K55,"","X")</f>
        <v/>
      </c>
      <c r="L14" s="70" t="str">
        <f>IF(L54=L55,"","X")</f>
        <v/>
      </c>
      <c r="M14" s="72" t="e">
        <f>IF(M54=M55,"","X")</f>
        <v>#VALUE!</v>
      </c>
      <c r="N14" s="74"/>
      <c r="O14" s="68" t="str">
        <f>IF(O54=O55,"","X")</f>
        <v>X</v>
      </c>
      <c r="P14" s="70" t="str">
        <f>IF(P54=P55,"","X")</f>
        <v>X</v>
      </c>
      <c r="Q14" s="68" t="str">
        <f>IF(Q54=Q55,"","X")</f>
        <v>X</v>
      </c>
      <c r="R14" s="69" t="str">
        <f>IF(R54=R55,"","X")</f>
        <v>X</v>
      </c>
      <c r="S14" s="69" t="str">
        <f>IF(S54=S55,"","X")</f>
        <v>X</v>
      </c>
      <c r="T14" s="69"/>
      <c r="U14" s="69" t="str">
        <f t="shared" ref="U14:Z14" si="1">IF(U54=U55,"","X")</f>
        <v>X</v>
      </c>
      <c r="V14" s="69" t="str">
        <f t="shared" si="1"/>
        <v>X</v>
      </c>
      <c r="W14" s="69" t="str">
        <f t="shared" si="1"/>
        <v>X</v>
      </c>
      <c r="X14" s="70" t="str">
        <f t="shared" si="1"/>
        <v>X</v>
      </c>
      <c r="Y14" s="72" t="str">
        <f t="shared" si="1"/>
        <v>X</v>
      </c>
      <c r="Z14" s="72" t="str">
        <f t="shared" si="1"/>
        <v>X</v>
      </c>
      <c r="AA14" s="74"/>
      <c r="AB14" s="68" t="str">
        <f>IF(AB54=AB55,"","X")</f>
        <v>X</v>
      </c>
      <c r="AC14" s="69" t="str">
        <f>IF(AC54=AC55,"","X")</f>
        <v>X</v>
      </c>
      <c r="AD14" s="69" t="str">
        <f>IF(AD54=AD55,"","X")</f>
        <v>X</v>
      </c>
      <c r="AE14" s="69" t="str">
        <f>IF(AE54=AE55,"","X")</f>
        <v>X</v>
      </c>
      <c r="AF14" s="69" t="str">
        <f>IF(AF54=AF55,"","X")</f>
        <v>X</v>
      </c>
      <c r="AG14" s="69"/>
      <c r="AH14" s="69" t="str">
        <f t="shared" ref="AH14:AM14" si="2">IF(AH54=AH55,"","X")</f>
        <v>X</v>
      </c>
      <c r="AI14" s="70" t="e">
        <f t="shared" si="2"/>
        <v>#VALUE!</v>
      </c>
      <c r="AJ14" s="68" t="str">
        <f t="shared" si="2"/>
        <v>X</v>
      </c>
      <c r="AK14" s="69" t="str">
        <f t="shared" si="2"/>
        <v>X</v>
      </c>
      <c r="AL14" s="70" t="str">
        <f t="shared" si="2"/>
        <v>X</v>
      </c>
      <c r="AM14" s="72" t="e">
        <f t="shared" si="2"/>
        <v>#VALUE!</v>
      </c>
      <c r="AN14" s="74"/>
      <c r="AO14" s="72" t="e">
        <f>IF(AO54=AO55,"","X")</f>
        <v>#VALUE!</v>
      </c>
      <c r="AP14" s="74"/>
      <c r="AQ14" s="68" t="str">
        <f t="shared" ref="AQ14:BD14" si="3">IF(AQ54=AQ55,"","X")</f>
        <v>X</v>
      </c>
      <c r="AR14" s="69" t="str">
        <f t="shared" si="3"/>
        <v>X</v>
      </c>
      <c r="AS14" s="69" t="str">
        <f t="shared" si="3"/>
        <v>X</v>
      </c>
      <c r="AT14" s="70" t="str">
        <f t="shared" si="3"/>
        <v>X</v>
      </c>
      <c r="AU14" s="68" t="str">
        <f t="shared" si="3"/>
        <v>X</v>
      </c>
      <c r="AV14" s="69" t="str">
        <f t="shared" si="3"/>
        <v>X</v>
      </c>
      <c r="AW14" s="69" t="str">
        <f t="shared" si="3"/>
        <v>X</v>
      </c>
      <c r="AX14" s="69" t="str">
        <f t="shared" si="3"/>
        <v>X</v>
      </c>
      <c r="AY14" s="69" t="str">
        <f t="shared" si="3"/>
        <v>X</v>
      </c>
      <c r="AZ14" s="69" t="str">
        <f t="shared" si="3"/>
        <v>X</v>
      </c>
      <c r="BA14" s="69" t="str">
        <f t="shared" si="3"/>
        <v>X</v>
      </c>
      <c r="BB14" s="69" t="str">
        <f t="shared" si="3"/>
        <v>X</v>
      </c>
      <c r="BC14" s="69" t="str">
        <f t="shared" si="3"/>
        <v>X</v>
      </c>
      <c r="BD14" s="70" t="str">
        <f t="shared" si="3"/>
        <v>X</v>
      </c>
    </row>
    <row r="15" spans="1:62" x14ac:dyDescent="0.2">
      <c r="A15" s="416"/>
      <c r="B15" s="411"/>
      <c r="C15" s="81"/>
      <c r="D15" s="81"/>
      <c r="E15" s="81"/>
      <c r="F15" s="81"/>
      <c r="G15" s="81"/>
      <c r="H15" s="81"/>
      <c r="I15" s="81"/>
      <c r="J15" s="81"/>
      <c r="K15" s="81"/>
      <c r="L15" s="81"/>
      <c r="M15" s="81"/>
      <c r="N15" s="81"/>
      <c r="O15" s="81"/>
      <c r="P15" s="81"/>
      <c r="Q15" s="81"/>
      <c r="R15" s="81"/>
      <c r="S15" s="81"/>
      <c r="T15" s="81"/>
      <c r="U15" s="81"/>
      <c r="V15" s="81"/>
      <c r="W15" s="81"/>
      <c r="X15" s="81"/>
      <c r="Y15" s="81"/>
      <c r="Z15" s="81"/>
      <c r="AA15" s="81"/>
      <c r="AB15" s="81"/>
      <c r="AC15" s="81"/>
      <c r="AD15" s="81"/>
      <c r="AE15" s="81"/>
      <c r="AF15" s="81"/>
      <c r="AG15" s="81"/>
      <c r="AH15" s="81"/>
      <c r="AI15" s="81"/>
      <c r="AJ15" s="81"/>
      <c r="AK15" s="81"/>
      <c r="AL15" s="81"/>
      <c r="AM15" s="81"/>
      <c r="AN15" s="81"/>
      <c r="AO15" s="81"/>
      <c r="AP15" s="81"/>
      <c r="AQ15" s="81"/>
      <c r="AR15" s="81"/>
      <c r="AS15" s="81"/>
      <c r="AT15" s="81"/>
      <c r="AU15" s="81"/>
      <c r="AV15" s="81"/>
      <c r="AW15" s="81"/>
      <c r="AX15" s="81"/>
      <c r="AY15" s="81"/>
      <c r="AZ15" s="81"/>
      <c r="BA15" s="81"/>
      <c r="BB15" s="81"/>
      <c r="BC15" s="81"/>
      <c r="BD15" s="81"/>
    </row>
    <row r="16" spans="1:62" x14ac:dyDescent="0.2">
      <c r="A16" s="416"/>
      <c r="B16" s="411"/>
      <c r="C16" s="81"/>
      <c r="D16" s="81"/>
      <c r="E16" s="81"/>
      <c r="F16" s="81"/>
      <c r="G16" s="81"/>
      <c r="H16" s="81"/>
      <c r="I16" s="81"/>
      <c r="J16" s="81"/>
      <c r="K16" s="81"/>
      <c r="L16" s="81"/>
      <c r="M16" s="81"/>
      <c r="N16" s="81"/>
      <c r="O16" s="81"/>
      <c r="P16" s="81"/>
      <c r="Q16" s="81"/>
      <c r="R16" s="81"/>
      <c r="S16" s="81"/>
      <c r="T16" s="81"/>
      <c r="U16" s="81"/>
      <c r="V16" s="81"/>
      <c r="W16" s="81"/>
      <c r="X16" s="81"/>
      <c r="Y16" s="81"/>
      <c r="Z16" s="81"/>
      <c r="AA16" s="81"/>
      <c r="AB16" s="81"/>
      <c r="AC16" s="81"/>
      <c r="AD16" s="81"/>
      <c r="AE16" s="81"/>
      <c r="AF16" s="81"/>
      <c r="AG16" s="81"/>
      <c r="AH16" s="81"/>
      <c r="AI16" s="81"/>
      <c r="AJ16" s="81"/>
      <c r="AK16" s="81"/>
      <c r="AL16" s="81"/>
      <c r="AM16" s="81"/>
      <c r="AN16" s="81"/>
      <c r="AO16" s="81"/>
      <c r="AP16" s="81"/>
      <c r="AQ16" s="81"/>
      <c r="AR16" s="81"/>
      <c r="AS16" s="81"/>
      <c r="AT16" s="81"/>
      <c r="AU16" s="81"/>
      <c r="AV16" s="81"/>
      <c r="AW16" s="81"/>
      <c r="AX16" s="81"/>
      <c r="AY16" s="81"/>
      <c r="AZ16" s="81"/>
      <c r="BA16" s="81"/>
      <c r="BB16" s="81"/>
      <c r="BC16" s="81"/>
      <c r="BD16" s="81"/>
    </row>
    <row r="17" spans="1:56" x14ac:dyDescent="0.2">
      <c r="A17" s="416"/>
      <c r="B17" s="411"/>
      <c r="C17" s="81"/>
      <c r="D17" s="81"/>
      <c r="E17" s="81"/>
      <c r="F17" s="81"/>
      <c r="G17" s="81"/>
      <c r="H17" s="81"/>
      <c r="I17" s="81"/>
      <c r="J17" s="81"/>
      <c r="K17" s="81"/>
      <c r="L17" s="81"/>
      <c r="M17" s="81"/>
      <c r="N17" s="81"/>
      <c r="O17" s="81"/>
      <c r="P17" s="81"/>
      <c r="Q17" s="81"/>
      <c r="R17" s="81"/>
      <c r="S17" s="81"/>
      <c r="T17" s="81"/>
      <c r="U17" s="81"/>
      <c r="V17" s="81"/>
      <c r="W17" s="81"/>
      <c r="X17" s="81"/>
      <c r="Y17" s="81"/>
      <c r="Z17" s="81"/>
      <c r="AA17" s="81"/>
      <c r="AB17" s="81"/>
      <c r="AC17" s="81"/>
      <c r="AD17" s="81"/>
      <c r="AE17" s="81"/>
      <c r="AF17" s="81"/>
      <c r="AG17" s="81"/>
      <c r="AH17" s="81"/>
      <c r="AI17" s="81"/>
      <c r="AJ17" s="81"/>
      <c r="AK17" s="81"/>
      <c r="AL17" s="81"/>
      <c r="AM17" s="81"/>
      <c r="AN17" s="81"/>
      <c r="AO17" s="81"/>
      <c r="AP17" s="81"/>
      <c r="AQ17" s="81"/>
      <c r="AR17" s="81"/>
      <c r="AS17" s="81"/>
      <c r="AT17" s="81"/>
      <c r="AU17" s="81"/>
      <c r="AV17" s="81"/>
      <c r="AW17" s="81"/>
      <c r="AX17" s="81"/>
      <c r="AY17" s="81"/>
      <c r="AZ17" s="81"/>
      <c r="BA17" s="81"/>
      <c r="BB17" s="81"/>
      <c r="BC17" s="81"/>
      <c r="BD17" s="81"/>
    </row>
    <row r="18" spans="1:56" ht="25.5" customHeight="1" x14ac:dyDescent="0.2">
      <c r="A18" s="416"/>
      <c r="B18" s="412"/>
    </row>
    <row r="19" spans="1:56" x14ac:dyDescent="0.2">
      <c r="B19" s="82"/>
    </row>
    <row r="20" spans="1:56" ht="13.5" thickBot="1" x14ac:dyDescent="0.25">
      <c r="C20" s="23" t="s">
        <v>70</v>
      </c>
    </row>
    <row r="21" spans="1:56" x14ac:dyDescent="0.2">
      <c r="C21" s="399" t="s">
        <v>35</v>
      </c>
      <c r="D21" s="400"/>
      <c r="E21" s="400"/>
      <c r="F21" s="401"/>
      <c r="G21" s="403" t="s">
        <v>34</v>
      </c>
      <c r="H21" s="404"/>
      <c r="I21" s="404"/>
      <c r="J21" s="404"/>
      <c r="K21" s="404"/>
      <c r="L21" s="404"/>
      <c r="M21" s="404"/>
      <c r="N21" s="404"/>
      <c r="O21" s="404"/>
      <c r="P21" s="405"/>
      <c r="Q21" s="402" t="s">
        <v>32</v>
      </c>
      <c r="R21" s="394"/>
      <c r="S21" s="394"/>
      <c r="T21" s="394"/>
      <c r="U21" s="394"/>
      <c r="V21" s="394"/>
      <c r="W21" s="395"/>
    </row>
    <row r="22" spans="1:56" ht="13.5" thickBot="1" x14ac:dyDescent="0.25">
      <c r="C22" s="26" t="str">
        <f>MID($B42,1,1)</f>
        <v/>
      </c>
      <c r="D22" s="27" t="str">
        <f>MID($B42,2,1)</f>
        <v/>
      </c>
      <c r="E22" s="27" t="str">
        <f>MID($B42,3,1)</f>
        <v/>
      </c>
      <c r="F22" s="28" t="str">
        <f>MID($B42,4,1)</f>
        <v/>
      </c>
      <c r="G22" s="26" t="str">
        <f>MID($B43,1,1)</f>
        <v>0</v>
      </c>
      <c r="H22" s="27" t="str">
        <f>MID($B43,2,1)</f>
        <v>0</v>
      </c>
      <c r="I22" s="27" t="str">
        <f>MID($B43,3,1)</f>
        <v>0</v>
      </c>
      <c r="J22" s="27" t="str">
        <f>MID($B43,4,1)</f>
        <v>0</v>
      </c>
      <c r="K22" s="27" t="str">
        <f>MID($B43,5,1)</f>
        <v>0</v>
      </c>
      <c r="L22" s="27" t="str">
        <f>MID($B43,6,1)</f>
        <v>0</v>
      </c>
      <c r="M22" s="27" t="str">
        <f>MID($B43,7,1)</f>
        <v>0</v>
      </c>
      <c r="N22" s="27" t="str">
        <f>MID($B43,8,1)</f>
        <v>0</v>
      </c>
      <c r="O22" s="27" t="str">
        <f>MID($B43,9,1)</f>
        <v>0</v>
      </c>
      <c r="P22" s="28" t="str">
        <f>MID($B43,10,1)</f>
        <v>0</v>
      </c>
      <c r="Q22" s="26" t="str">
        <f>MID($B45,1,1)</f>
        <v>0</v>
      </c>
      <c r="R22" s="27" t="str">
        <f>MID($B45,2,1)</f>
        <v>0</v>
      </c>
      <c r="S22" s="27" t="str">
        <f>MID($B45,3,1)</f>
        <v>0</v>
      </c>
      <c r="T22" s="27" t="str">
        <f>MID($B45,4,1)</f>
        <v>0</v>
      </c>
      <c r="U22" s="27" t="str">
        <f>MID($B45,5,1)</f>
        <v>0</v>
      </c>
      <c r="V22" s="27" t="str">
        <f>MID($B45,6,1)</f>
        <v>0</v>
      </c>
      <c r="W22" s="28" t="str">
        <f>MID($B45,7,1)</f>
        <v>0</v>
      </c>
    </row>
    <row r="23" spans="1:56" x14ac:dyDescent="0.2">
      <c r="C23" s="29">
        <v>3</v>
      </c>
      <c r="D23" s="29">
        <v>1</v>
      </c>
      <c r="E23" s="29">
        <v>9</v>
      </c>
      <c r="F23" s="29">
        <v>7</v>
      </c>
      <c r="G23" s="29">
        <v>3</v>
      </c>
      <c r="H23" s="29">
        <v>1</v>
      </c>
      <c r="I23" s="29">
        <v>9</v>
      </c>
      <c r="J23" s="29">
        <v>7</v>
      </c>
      <c r="K23" s="29">
        <v>3</v>
      </c>
      <c r="L23" s="29">
        <v>1</v>
      </c>
      <c r="M23" s="29">
        <v>9</v>
      </c>
      <c r="N23" s="29">
        <v>7</v>
      </c>
      <c r="O23" s="29">
        <v>3</v>
      </c>
      <c r="P23" s="29">
        <v>1</v>
      </c>
      <c r="Q23" s="29">
        <v>9</v>
      </c>
      <c r="R23" s="29">
        <v>7</v>
      </c>
      <c r="S23" s="29">
        <v>3</v>
      </c>
      <c r="T23" s="29">
        <v>1</v>
      </c>
      <c r="U23" s="29">
        <v>9</v>
      </c>
      <c r="V23" s="29">
        <v>7</v>
      </c>
      <c r="W23" s="29">
        <v>3</v>
      </c>
    </row>
    <row r="24" spans="1:56" ht="13.5" thickBot="1" x14ac:dyDescent="0.25">
      <c r="C24" s="29" t="e">
        <f t="shared" ref="C24:W24" si="4">C22*C23</f>
        <v>#VALUE!</v>
      </c>
      <c r="D24" s="29" t="e">
        <f t="shared" si="4"/>
        <v>#VALUE!</v>
      </c>
      <c r="E24" s="29" t="e">
        <f t="shared" si="4"/>
        <v>#VALUE!</v>
      </c>
      <c r="F24" s="29" t="e">
        <f t="shared" si="4"/>
        <v>#VALUE!</v>
      </c>
      <c r="G24" s="29">
        <f t="shared" si="4"/>
        <v>0</v>
      </c>
      <c r="H24" s="29">
        <f t="shared" si="4"/>
        <v>0</v>
      </c>
      <c r="I24" s="29">
        <f t="shared" si="4"/>
        <v>0</v>
      </c>
      <c r="J24" s="29">
        <f t="shared" si="4"/>
        <v>0</v>
      </c>
      <c r="K24" s="29">
        <f t="shared" si="4"/>
        <v>0</v>
      </c>
      <c r="L24" s="29">
        <f t="shared" si="4"/>
        <v>0</v>
      </c>
      <c r="M24" s="29">
        <f t="shared" si="4"/>
        <v>0</v>
      </c>
      <c r="N24" s="29">
        <f t="shared" si="4"/>
        <v>0</v>
      </c>
      <c r="O24" s="29">
        <f t="shared" si="4"/>
        <v>0</v>
      </c>
      <c r="P24" s="29">
        <f t="shared" si="4"/>
        <v>0</v>
      </c>
      <c r="Q24" s="29">
        <f t="shared" si="4"/>
        <v>0</v>
      </c>
      <c r="R24" s="29">
        <f t="shared" si="4"/>
        <v>0</v>
      </c>
      <c r="S24" s="29">
        <f t="shared" si="4"/>
        <v>0</v>
      </c>
      <c r="T24" s="29">
        <f t="shared" si="4"/>
        <v>0</v>
      </c>
      <c r="U24" s="29">
        <f t="shared" si="4"/>
        <v>0</v>
      </c>
      <c r="V24" s="29">
        <f t="shared" si="4"/>
        <v>0</v>
      </c>
      <c r="W24" s="29">
        <f t="shared" si="4"/>
        <v>0</v>
      </c>
      <c r="X24" s="49"/>
      <c r="Y24" s="49"/>
      <c r="Z24" s="49"/>
      <c r="AA24" s="49"/>
    </row>
    <row r="25" spans="1:56" ht="13.5" thickBot="1" x14ac:dyDescent="0.25">
      <c r="R25" s="422" t="s">
        <v>31</v>
      </c>
      <c r="S25" s="423"/>
      <c r="T25" s="423"/>
      <c r="U25" s="423"/>
      <c r="V25" s="423"/>
      <c r="W25" s="423"/>
      <c r="X25" s="51" t="e">
        <f>IF(OR((SUM(C24:W24))-(TRUNC(SUM(C24:W24)/11,0)*11)=0,(SUM(C24:W24))-(TRUNC(SUM(C24:W24)/11,0)*11)=1),0,(11-((SUM(C24:W24))-(TRUNC(SUM(C24:W24)/11,0)*11))))</f>
        <v>#VALUE!</v>
      </c>
    </row>
    <row r="26" spans="1:56" ht="13.5" thickBot="1" x14ac:dyDescent="0.25">
      <c r="Q26" s="50"/>
      <c r="R26" s="50"/>
      <c r="S26" s="50"/>
      <c r="T26" s="50"/>
      <c r="U26" s="50"/>
      <c r="V26" s="50"/>
      <c r="W26" s="50"/>
    </row>
    <row r="27" spans="1:56" ht="54.75" customHeight="1" x14ac:dyDescent="0.2">
      <c r="C27" s="396" t="s">
        <v>38</v>
      </c>
      <c r="D27" s="397"/>
      <c r="E27" s="398"/>
      <c r="F27" s="54" t="s">
        <v>39</v>
      </c>
      <c r="G27" s="55" t="s">
        <v>42</v>
      </c>
      <c r="H27" s="399" t="s">
        <v>35</v>
      </c>
      <c r="I27" s="400"/>
      <c r="J27" s="400"/>
      <c r="K27" s="401"/>
      <c r="L27" s="56"/>
      <c r="M27" s="447" t="s">
        <v>43</v>
      </c>
      <c r="N27" s="448"/>
      <c r="O27" s="403" t="s">
        <v>34</v>
      </c>
      <c r="P27" s="404"/>
      <c r="Q27" s="404"/>
      <c r="R27" s="404"/>
      <c r="S27" s="404"/>
      <c r="T27" s="404"/>
      <c r="U27" s="405"/>
      <c r="V27" s="57"/>
      <c r="W27" s="58"/>
      <c r="X27" s="394" t="s">
        <v>32</v>
      </c>
      <c r="Y27" s="394"/>
      <c r="Z27" s="394"/>
      <c r="AA27" s="394"/>
      <c r="AB27" s="394"/>
      <c r="AC27" s="394"/>
      <c r="AD27" s="395"/>
      <c r="AE27" s="424" t="s">
        <v>44</v>
      </c>
      <c r="AF27" s="425"/>
      <c r="AG27" s="426"/>
    </row>
    <row r="28" spans="1:56" ht="13.5" thickBot="1" x14ac:dyDescent="0.25">
      <c r="C28" s="45">
        <v>7</v>
      </c>
      <c r="D28" s="46">
        <v>5</v>
      </c>
      <c r="E28" s="47">
        <v>6</v>
      </c>
      <c r="F28" s="48">
        <v>9</v>
      </c>
      <c r="G28" s="48">
        <f>IF(B44="03",3,1)</f>
        <v>3</v>
      </c>
      <c r="H28" s="45" t="str">
        <f>C22</f>
        <v/>
      </c>
      <c r="I28" s="46" t="str">
        <f>D22</f>
        <v/>
      </c>
      <c r="J28" s="46" t="str">
        <f>E22</f>
        <v/>
      </c>
      <c r="K28" s="47" t="str">
        <f>F22</f>
        <v/>
      </c>
      <c r="L28" s="30"/>
      <c r="M28" s="45" t="str">
        <f>MID($B44,1,1)</f>
        <v>0</v>
      </c>
      <c r="N28" s="47" t="str">
        <f>MID($B44,2,1)</f>
        <v>3</v>
      </c>
      <c r="O28" s="45" t="str">
        <f t="shared" ref="O28:V28" si="5">J22</f>
        <v>0</v>
      </c>
      <c r="P28" s="46" t="str">
        <f t="shared" si="5"/>
        <v>0</v>
      </c>
      <c r="Q28" s="46" t="str">
        <f t="shared" si="5"/>
        <v>0</v>
      </c>
      <c r="R28" s="46" t="str">
        <f t="shared" si="5"/>
        <v>0</v>
      </c>
      <c r="S28" s="46" t="str">
        <f t="shared" si="5"/>
        <v>0</v>
      </c>
      <c r="T28" s="46" t="str">
        <f t="shared" si="5"/>
        <v>0</v>
      </c>
      <c r="U28" s="47" t="str">
        <f t="shared" si="5"/>
        <v>0</v>
      </c>
      <c r="V28" s="46" t="str">
        <f t="shared" si="5"/>
        <v>0</v>
      </c>
      <c r="W28" s="46"/>
      <c r="X28" s="46" t="str">
        <f t="shared" ref="X28:AC28" si="6">R22</f>
        <v>0</v>
      </c>
      <c r="Y28" s="46" t="str">
        <f t="shared" si="6"/>
        <v>0</v>
      </c>
      <c r="Z28" s="46" t="str">
        <f t="shared" si="6"/>
        <v>0</v>
      </c>
      <c r="AA28" s="46" t="str">
        <f t="shared" si="6"/>
        <v>0</v>
      </c>
      <c r="AB28" s="46" t="str">
        <f t="shared" si="6"/>
        <v>0</v>
      </c>
      <c r="AC28" s="46" t="str">
        <f t="shared" si="6"/>
        <v>0</v>
      </c>
      <c r="AD28" s="47" t="e">
        <f>X25</f>
        <v>#VALUE!</v>
      </c>
      <c r="AE28" s="45" t="str">
        <f>MID($B46,1,1)</f>
        <v>0</v>
      </c>
      <c r="AF28" s="46" t="str">
        <f>MID($B46,2,1)</f>
        <v>0</v>
      </c>
      <c r="AG28" s="47" t="str">
        <f>MID($B46,3,1)</f>
        <v>0</v>
      </c>
    </row>
    <row r="29" spans="1:56" x14ac:dyDescent="0.2">
      <c r="C29" s="30">
        <v>2</v>
      </c>
      <c r="D29" s="30">
        <v>1</v>
      </c>
      <c r="E29" s="30">
        <v>2</v>
      </c>
      <c r="F29" s="30">
        <v>1</v>
      </c>
      <c r="G29" s="30">
        <v>2</v>
      </c>
      <c r="H29" s="30">
        <v>1</v>
      </c>
      <c r="I29" s="30">
        <v>2</v>
      </c>
      <c r="J29" s="30">
        <v>1</v>
      </c>
      <c r="K29" s="30">
        <v>2</v>
      </c>
      <c r="L29" s="30"/>
      <c r="M29" s="30">
        <v>1</v>
      </c>
      <c r="N29" s="30">
        <v>2</v>
      </c>
      <c r="O29" s="30">
        <v>1</v>
      </c>
      <c r="P29" s="30">
        <v>2</v>
      </c>
      <c r="Q29" s="30">
        <v>1</v>
      </c>
      <c r="R29" s="30">
        <v>2</v>
      </c>
      <c r="S29" s="30">
        <v>1</v>
      </c>
      <c r="T29" s="30">
        <v>2</v>
      </c>
      <c r="U29" s="30">
        <v>1</v>
      </c>
      <c r="V29" s="30">
        <v>2</v>
      </c>
      <c r="W29" s="30"/>
      <c r="X29" s="30">
        <v>1</v>
      </c>
      <c r="Y29" s="30">
        <v>2</v>
      </c>
      <c r="Z29" s="30">
        <v>1</v>
      </c>
      <c r="AA29" s="30">
        <v>2</v>
      </c>
      <c r="AB29" s="30">
        <v>1</v>
      </c>
      <c r="AC29" s="30">
        <v>2</v>
      </c>
      <c r="AD29" s="30">
        <v>1</v>
      </c>
      <c r="AE29" s="30">
        <v>2</v>
      </c>
      <c r="AF29" s="30">
        <v>1</v>
      </c>
      <c r="AG29" s="30">
        <v>2</v>
      </c>
    </row>
    <row r="30" spans="1:56" ht="13.5" thickBot="1" x14ac:dyDescent="0.25">
      <c r="C30" s="31" t="str">
        <f>TEXT(C29*C28,"00")</f>
        <v>14</v>
      </c>
      <c r="D30" s="31" t="str">
        <f t="shared" ref="D30:K30" si="7">TEXT(D29*D28,"00")</f>
        <v>05</v>
      </c>
      <c r="E30" s="31" t="str">
        <f t="shared" si="7"/>
        <v>12</v>
      </c>
      <c r="F30" s="31" t="str">
        <f t="shared" si="7"/>
        <v>09</v>
      </c>
      <c r="G30" s="31" t="str">
        <f t="shared" si="7"/>
        <v>06</v>
      </c>
      <c r="H30" s="31" t="e">
        <f t="shared" si="7"/>
        <v>#VALUE!</v>
      </c>
      <c r="I30" s="31" t="e">
        <f t="shared" si="7"/>
        <v>#VALUE!</v>
      </c>
      <c r="J30" s="31" t="e">
        <f t="shared" si="7"/>
        <v>#VALUE!</v>
      </c>
      <c r="K30" s="31" t="e">
        <f t="shared" si="7"/>
        <v>#VALUE!</v>
      </c>
      <c r="L30" s="31"/>
      <c r="M30" s="31" t="str">
        <f t="shared" ref="M30:V30" si="8">TEXT(M29*M28,"00")</f>
        <v>00</v>
      </c>
      <c r="N30" s="31" t="str">
        <f t="shared" si="8"/>
        <v>06</v>
      </c>
      <c r="O30" s="31" t="str">
        <f t="shared" si="8"/>
        <v>00</v>
      </c>
      <c r="P30" s="31" t="str">
        <f t="shared" si="8"/>
        <v>00</v>
      </c>
      <c r="Q30" s="31" t="str">
        <f t="shared" si="8"/>
        <v>00</v>
      </c>
      <c r="R30" s="31" t="str">
        <f t="shared" si="8"/>
        <v>00</v>
      </c>
      <c r="S30" s="31" t="str">
        <f t="shared" si="8"/>
        <v>00</v>
      </c>
      <c r="T30" s="31" t="str">
        <f t="shared" si="8"/>
        <v>00</v>
      </c>
      <c r="U30" s="31" t="str">
        <f t="shared" si="8"/>
        <v>00</v>
      </c>
      <c r="V30" s="31" t="str">
        <f t="shared" si="8"/>
        <v>00</v>
      </c>
      <c r="W30" s="31"/>
      <c r="X30" s="31" t="str">
        <f t="shared" ref="X30:AG30" si="9">TEXT(X29*X28,"00")</f>
        <v>00</v>
      </c>
      <c r="Y30" s="31" t="str">
        <f t="shared" si="9"/>
        <v>00</v>
      </c>
      <c r="Z30" s="31" t="str">
        <f t="shared" si="9"/>
        <v>00</v>
      </c>
      <c r="AA30" s="31" t="str">
        <f t="shared" si="9"/>
        <v>00</v>
      </c>
      <c r="AB30" s="31" t="str">
        <f t="shared" si="9"/>
        <v>00</v>
      </c>
      <c r="AC30" s="31" t="str">
        <f t="shared" si="9"/>
        <v>00</v>
      </c>
      <c r="AD30" s="31" t="e">
        <f t="shared" si="9"/>
        <v>#VALUE!</v>
      </c>
      <c r="AE30" s="31" t="str">
        <f t="shared" si="9"/>
        <v>00</v>
      </c>
      <c r="AF30" s="31" t="str">
        <f t="shared" si="9"/>
        <v>00</v>
      </c>
      <c r="AG30" s="31" t="str">
        <f t="shared" si="9"/>
        <v>00</v>
      </c>
    </row>
    <row r="31" spans="1:56" ht="13.5" thickBot="1" x14ac:dyDescent="0.25">
      <c r="C31" s="31"/>
      <c r="D31" s="31"/>
      <c r="E31" s="31"/>
      <c r="F31" s="31"/>
      <c r="G31" s="420" t="s">
        <v>46</v>
      </c>
      <c r="H31" s="421"/>
      <c r="I31" s="421"/>
      <c r="J31" s="421"/>
      <c r="K31" s="421"/>
      <c r="L31" s="52" t="e">
        <f>IF(L61=10,"0",L61)</f>
        <v>#VALUE!</v>
      </c>
      <c r="M31" s="31"/>
      <c r="N31" s="31"/>
      <c r="O31" s="31"/>
      <c r="P31" s="31"/>
      <c r="Q31" s="31"/>
      <c r="R31" s="420" t="s">
        <v>47</v>
      </c>
      <c r="S31" s="421"/>
      <c r="T31" s="421"/>
      <c r="U31" s="421"/>
      <c r="V31" s="421"/>
      <c r="W31" s="52">
        <f>IF(W61=10,"0",W61)</f>
        <v>4</v>
      </c>
      <c r="X31" s="31"/>
      <c r="Y31" s="31"/>
      <c r="Z31" s="31"/>
      <c r="AA31" s="31"/>
      <c r="AB31" s="31"/>
      <c r="AC31" s="420" t="s">
        <v>48</v>
      </c>
      <c r="AD31" s="421"/>
      <c r="AE31" s="421"/>
      <c r="AF31" s="421"/>
      <c r="AG31" s="421"/>
      <c r="AH31" s="52" t="e">
        <f>IF(AH61=10,"0",AH61)</f>
        <v>#VALUE!</v>
      </c>
      <c r="AI31" s="31"/>
    </row>
    <row r="32" spans="1:56" ht="13.5" thickBot="1" x14ac:dyDescent="0.25">
      <c r="C32" s="31"/>
      <c r="D32" s="31"/>
      <c r="E32" s="31"/>
      <c r="F32" s="31"/>
      <c r="G32" s="80"/>
      <c r="H32" s="80"/>
      <c r="I32" s="80"/>
      <c r="J32" s="80"/>
      <c r="K32" s="80"/>
      <c r="L32" s="80"/>
      <c r="M32" s="31"/>
      <c r="N32" s="31"/>
      <c r="O32" s="31"/>
      <c r="P32" s="31"/>
      <c r="Q32" s="31"/>
      <c r="R32" s="80"/>
      <c r="S32" s="80"/>
      <c r="T32" s="80"/>
      <c r="U32" s="80"/>
      <c r="V32" s="80"/>
      <c r="W32" s="80"/>
      <c r="X32" s="31"/>
      <c r="Y32" s="31"/>
      <c r="Z32" s="31"/>
      <c r="AA32" s="31"/>
      <c r="AB32" s="31"/>
      <c r="AC32" s="80"/>
      <c r="AD32" s="80"/>
      <c r="AE32" s="80"/>
      <c r="AF32" s="80"/>
      <c r="AG32" s="80"/>
      <c r="AH32" s="80"/>
      <c r="AI32" s="31"/>
    </row>
    <row r="33" spans="1:47" x14ac:dyDescent="0.2">
      <c r="C33" s="436" t="s">
        <v>71</v>
      </c>
      <c r="D33" s="437"/>
      <c r="E33" s="437"/>
      <c r="F33" s="438"/>
      <c r="G33" s="439" t="s">
        <v>72</v>
      </c>
      <c r="H33" s="440"/>
      <c r="I33" s="440"/>
      <c r="J33" s="441"/>
      <c r="K33" s="80"/>
      <c r="L33" s="80"/>
      <c r="M33" s="31"/>
      <c r="N33" s="31"/>
      <c r="O33" s="31"/>
      <c r="P33" s="31"/>
      <c r="Q33" s="31"/>
      <c r="R33" s="80"/>
      <c r="S33" s="80"/>
      <c r="T33" s="80"/>
      <c r="U33" s="80"/>
      <c r="V33" s="80"/>
      <c r="W33" s="80"/>
      <c r="X33" s="31"/>
      <c r="Y33" s="31"/>
      <c r="Z33" s="31"/>
      <c r="AA33" s="31"/>
      <c r="AB33" s="31"/>
      <c r="AC33" s="80"/>
      <c r="AD33" s="80"/>
      <c r="AE33" s="80"/>
      <c r="AF33" s="80"/>
      <c r="AG33" s="80"/>
      <c r="AH33" s="80"/>
      <c r="AI33" s="31"/>
    </row>
    <row r="34" spans="1:47" ht="13.5" thickBot="1" x14ac:dyDescent="0.25">
      <c r="C34" s="430" t="str">
        <f>IF(B7="","Nulo",B7)</f>
        <v>Nulo</v>
      </c>
      <c r="D34" s="431"/>
      <c r="E34" s="431"/>
      <c r="F34" s="432"/>
      <c r="G34" s="433">
        <v>36710</v>
      </c>
      <c r="H34" s="434"/>
      <c r="I34" s="434"/>
      <c r="J34" s="435"/>
      <c r="K34" s="80"/>
      <c r="L34" s="80"/>
      <c r="M34" s="31"/>
      <c r="N34" s="31"/>
      <c r="O34" s="31"/>
      <c r="P34" s="31"/>
      <c r="Q34" s="31"/>
      <c r="R34" s="80"/>
      <c r="S34" s="80"/>
      <c r="T34" s="80"/>
      <c r="U34" s="80"/>
      <c r="V34" s="80"/>
      <c r="W34" s="80"/>
      <c r="X34" s="31"/>
      <c r="Y34" s="31"/>
      <c r="Z34" s="31"/>
      <c r="AA34" s="31"/>
      <c r="AB34" s="31"/>
      <c r="AC34" s="80"/>
      <c r="AD34" s="80"/>
      <c r="AE34" s="80"/>
      <c r="AF34" s="80"/>
      <c r="AG34" s="80"/>
      <c r="AH34" s="80"/>
      <c r="AI34" s="31"/>
    </row>
    <row r="35" spans="1:47" ht="13.5" thickBot="1" x14ac:dyDescent="0.25">
      <c r="C35" s="31"/>
      <c r="D35" s="31"/>
      <c r="E35" s="31"/>
      <c r="G35" s="420" t="s">
        <v>40</v>
      </c>
      <c r="H35" s="421"/>
      <c r="I35" s="421"/>
      <c r="J35" s="421"/>
      <c r="K35" s="445" t="str">
        <f>B49</f>
        <v>0000</v>
      </c>
      <c r="L35" s="446"/>
      <c r="M35" s="31"/>
      <c r="N35" s="31"/>
      <c r="O35" s="31"/>
      <c r="P35" s="31"/>
      <c r="Q35" s="31"/>
      <c r="R35" s="80"/>
      <c r="S35" s="80"/>
      <c r="T35" s="80"/>
      <c r="U35" s="80"/>
      <c r="V35" s="80"/>
      <c r="W35" s="80"/>
      <c r="X35" s="31"/>
      <c r="Y35" s="31"/>
      <c r="Z35" s="31"/>
      <c r="AA35" s="31"/>
      <c r="AB35" s="31"/>
      <c r="AC35" s="80"/>
      <c r="AD35" s="80"/>
      <c r="AE35" s="80"/>
      <c r="AF35" s="80"/>
      <c r="AG35" s="80"/>
      <c r="AH35" s="80"/>
      <c r="AI35" s="31"/>
    </row>
    <row r="36" spans="1:47" ht="13.5" thickBot="1" x14ac:dyDescent="0.25">
      <c r="B36" s="25"/>
      <c r="AI36" s="31"/>
    </row>
    <row r="37" spans="1:47" ht="61.5" customHeight="1" x14ac:dyDescent="0.2">
      <c r="B37" s="25"/>
      <c r="C37" s="449" t="s">
        <v>38</v>
      </c>
      <c r="D37" s="450"/>
      <c r="E37" s="451"/>
      <c r="F37" s="62" t="s">
        <v>39</v>
      </c>
      <c r="G37" s="136" t="s">
        <v>1602</v>
      </c>
      <c r="H37" s="452" t="s">
        <v>40</v>
      </c>
      <c r="I37" s="453"/>
      <c r="J37" s="453"/>
      <c r="K37" s="454"/>
      <c r="L37" s="417" t="s">
        <v>41</v>
      </c>
      <c r="M37" s="418"/>
      <c r="N37" s="418"/>
      <c r="O37" s="418"/>
      <c r="P37" s="418"/>
      <c r="Q37" s="418"/>
      <c r="R37" s="418"/>
      <c r="S37" s="418"/>
      <c r="T37" s="418"/>
      <c r="U37" s="419"/>
      <c r="V37" s="55" t="s">
        <v>42</v>
      </c>
      <c r="W37" s="399" t="s">
        <v>35</v>
      </c>
      <c r="X37" s="400"/>
      <c r="Y37" s="400"/>
      <c r="Z37" s="401"/>
      <c r="AA37" s="447" t="s">
        <v>43</v>
      </c>
      <c r="AB37" s="448"/>
      <c r="AC37" s="403" t="s">
        <v>34</v>
      </c>
      <c r="AD37" s="404"/>
      <c r="AE37" s="404"/>
      <c r="AF37" s="404"/>
      <c r="AG37" s="404"/>
      <c r="AH37" s="404"/>
      <c r="AI37" s="405"/>
      <c r="AJ37" s="442" t="s">
        <v>32</v>
      </c>
      <c r="AK37" s="443"/>
      <c r="AL37" s="443"/>
      <c r="AM37" s="443"/>
      <c r="AN37" s="443"/>
      <c r="AO37" s="443"/>
      <c r="AP37" s="443"/>
      <c r="AQ37" s="444"/>
      <c r="AR37" s="424" t="s">
        <v>44</v>
      </c>
      <c r="AS37" s="425"/>
      <c r="AT37" s="426"/>
      <c r="AU37"/>
    </row>
    <row r="38" spans="1:47" ht="13.5" thickBot="1" x14ac:dyDescent="0.25">
      <c r="B38" s="25"/>
      <c r="C38" s="18">
        <v>7</v>
      </c>
      <c r="D38" s="59">
        <v>5</v>
      </c>
      <c r="E38" s="60">
        <v>6</v>
      </c>
      <c r="F38" s="61">
        <v>9</v>
      </c>
      <c r="G38" s="137" t="e">
        <f>AT41</f>
        <v>#VALUE!</v>
      </c>
      <c r="H38" s="18" t="str">
        <f>MID($B49,1,1)</f>
        <v>0</v>
      </c>
      <c r="I38" s="59" t="str">
        <f>MID($B49,2,1)</f>
        <v>0</v>
      </c>
      <c r="J38" s="59" t="str">
        <f>MID($B49,3,1)</f>
        <v>0</v>
      </c>
      <c r="K38" s="60" t="str">
        <f>MID($B49,4,1)</f>
        <v>0</v>
      </c>
      <c r="L38" s="18" t="str">
        <f>MID($B51,1,1)</f>
        <v>0</v>
      </c>
      <c r="M38" s="59" t="str">
        <f>MID($B51,2,1)</f>
        <v>0</v>
      </c>
      <c r="N38" s="59" t="str">
        <f>MID($B51,3,1)</f>
        <v>0</v>
      </c>
      <c r="O38" s="59" t="str">
        <f>MID($B51,4,1)</f>
        <v>0</v>
      </c>
      <c r="P38" s="59" t="str">
        <f>MID($B51,5,1)</f>
        <v>0</v>
      </c>
      <c r="Q38" s="59" t="str">
        <f>MID($B51,6,1)</f>
        <v>0</v>
      </c>
      <c r="R38" s="59" t="str">
        <f>MID($B51,7,1)</f>
        <v>0</v>
      </c>
      <c r="S38" s="59" t="str">
        <f>MID($B51,8,1)</f>
        <v>0</v>
      </c>
      <c r="T38" s="59" t="str">
        <f>MID($B52,1,1)</f>
        <v>0</v>
      </c>
      <c r="U38" s="60" t="str">
        <f>MID($B52,2,1)</f>
        <v>0</v>
      </c>
      <c r="V38" s="61">
        <f>G28</f>
        <v>3</v>
      </c>
      <c r="W38" s="18" t="str">
        <f>H28</f>
        <v/>
      </c>
      <c r="X38" s="59" t="str">
        <f>I28</f>
        <v/>
      </c>
      <c r="Y38" s="59" t="str">
        <f>J28</f>
        <v/>
      </c>
      <c r="Z38" s="60" t="str">
        <f>K28</f>
        <v/>
      </c>
      <c r="AA38" s="18" t="str">
        <f t="shared" ref="AA38:AJ38" si="10">M28</f>
        <v>0</v>
      </c>
      <c r="AB38" s="60" t="str">
        <f t="shared" si="10"/>
        <v>3</v>
      </c>
      <c r="AC38" s="18" t="str">
        <f t="shared" si="10"/>
        <v>0</v>
      </c>
      <c r="AD38" s="59" t="str">
        <f t="shared" si="10"/>
        <v>0</v>
      </c>
      <c r="AE38" s="59" t="str">
        <f t="shared" si="10"/>
        <v>0</v>
      </c>
      <c r="AF38" s="59" t="str">
        <f t="shared" si="10"/>
        <v>0</v>
      </c>
      <c r="AG38" s="59" t="str">
        <f t="shared" si="10"/>
        <v>0</v>
      </c>
      <c r="AH38" s="59" t="str">
        <f t="shared" si="10"/>
        <v>0</v>
      </c>
      <c r="AI38" s="60" t="str">
        <f t="shared" si="10"/>
        <v>0</v>
      </c>
      <c r="AJ38" s="18" t="str">
        <f t="shared" si="10"/>
        <v>0</v>
      </c>
      <c r="AK38" s="59" t="str">
        <f t="shared" ref="AK38:AT38" si="11">X28</f>
        <v>0</v>
      </c>
      <c r="AL38" s="59" t="str">
        <f t="shared" si="11"/>
        <v>0</v>
      </c>
      <c r="AM38" s="59" t="str">
        <f t="shared" si="11"/>
        <v>0</v>
      </c>
      <c r="AN38" s="59" t="str">
        <f t="shared" si="11"/>
        <v>0</v>
      </c>
      <c r="AO38" s="59" t="str">
        <f t="shared" si="11"/>
        <v>0</v>
      </c>
      <c r="AP38" s="59" t="str">
        <f t="shared" si="11"/>
        <v>0</v>
      </c>
      <c r="AQ38" s="60" t="e">
        <f t="shared" si="11"/>
        <v>#VALUE!</v>
      </c>
      <c r="AR38" s="18" t="str">
        <f t="shared" si="11"/>
        <v>0</v>
      </c>
      <c r="AS38" s="59" t="str">
        <f t="shared" si="11"/>
        <v>0</v>
      </c>
      <c r="AT38" s="60" t="str">
        <f t="shared" si="11"/>
        <v>0</v>
      </c>
      <c r="AU38"/>
    </row>
    <row r="39" spans="1:47" x14ac:dyDescent="0.2">
      <c r="B39" s="25"/>
      <c r="C39" s="53">
        <v>4</v>
      </c>
      <c r="D39" s="53">
        <v>3</v>
      </c>
      <c r="E39" s="53">
        <v>2</v>
      </c>
      <c r="F39" s="53">
        <v>9</v>
      </c>
      <c r="G39" s="53"/>
      <c r="H39" s="53">
        <v>8</v>
      </c>
      <c r="I39" s="53">
        <v>7</v>
      </c>
      <c r="J39" s="53">
        <v>6</v>
      </c>
      <c r="K39" s="53">
        <v>5</v>
      </c>
      <c r="L39" s="53">
        <v>4</v>
      </c>
      <c r="M39" s="53">
        <v>3</v>
      </c>
      <c r="N39" s="53">
        <v>2</v>
      </c>
      <c r="O39" s="53">
        <v>9</v>
      </c>
      <c r="P39" s="53">
        <v>8</v>
      </c>
      <c r="Q39" s="53">
        <v>7</v>
      </c>
      <c r="R39" s="53">
        <v>6</v>
      </c>
      <c r="S39" s="53">
        <v>5</v>
      </c>
      <c r="T39" s="53">
        <v>4</v>
      </c>
      <c r="U39" s="53">
        <v>3</v>
      </c>
      <c r="V39" s="53">
        <v>2</v>
      </c>
      <c r="W39" s="53">
        <v>9</v>
      </c>
      <c r="X39" s="53">
        <v>8</v>
      </c>
      <c r="Y39" s="53">
        <v>7</v>
      </c>
      <c r="Z39" s="53">
        <v>6</v>
      </c>
      <c r="AA39" s="53">
        <v>5</v>
      </c>
      <c r="AB39" s="53">
        <v>4</v>
      </c>
      <c r="AC39" s="53">
        <v>3</v>
      </c>
      <c r="AD39" s="53">
        <v>2</v>
      </c>
      <c r="AE39" s="53">
        <v>9</v>
      </c>
      <c r="AF39" s="53">
        <v>8</v>
      </c>
      <c r="AG39" s="53">
        <v>7</v>
      </c>
      <c r="AH39" s="53">
        <v>6</v>
      </c>
      <c r="AI39" s="53">
        <v>5</v>
      </c>
      <c r="AJ39" s="53">
        <v>4</v>
      </c>
      <c r="AK39" s="53">
        <v>3</v>
      </c>
      <c r="AL39" s="53">
        <v>2</v>
      </c>
      <c r="AM39" s="53">
        <v>9</v>
      </c>
      <c r="AN39" s="53">
        <v>8</v>
      </c>
      <c r="AO39" s="53">
        <v>7</v>
      </c>
      <c r="AP39" s="53">
        <v>6</v>
      </c>
      <c r="AQ39" s="53">
        <v>5</v>
      </c>
      <c r="AR39" s="53">
        <v>4</v>
      </c>
      <c r="AS39" s="53">
        <v>3</v>
      </c>
      <c r="AT39" s="53">
        <v>2</v>
      </c>
      <c r="AU39"/>
    </row>
    <row r="40" spans="1:47" ht="13.5" thickBot="1" x14ac:dyDescent="0.25">
      <c r="B40" s="25"/>
      <c r="C40" s="53">
        <f t="shared" ref="C40:AT40" si="12">C39*C38</f>
        <v>28</v>
      </c>
      <c r="D40" s="53">
        <f t="shared" si="12"/>
        <v>15</v>
      </c>
      <c r="E40" s="53">
        <f t="shared" si="12"/>
        <v>12</v>
      </c>
      <c r="F40" s="53">
        <f t="shared" si="12"/>
        <v>81</v>
      </c>
      <c r="G40" s="53"/>
      <c r="H40" s="53">
        <f t="shared" si="12"/>
        <v>0</v>
      </c>
      <c r="I40" s="53">
        <f t="shared" si="12"/>
        <v>0</v>
      </c>
      <c r="J40" s="53">
        <f t="shared" si="12"/>
        <v>0</v>
      </c>
      <c r="K40" s="53">
        <f t="shared" si="12"/>
        <v>0</v>
      </c>
      <c r="L40" s="53">
        <f t="shared" si="12"/>
        <v>0</v>
      </c>
      <c r="M40" s="53">
        <f t="shared" si="12"/>
        <v>0</v>
      </c>
      <c r="N40" s="53">
        <f t="shared" si="12"/>
        <v>0</v>
      </c>
      <c r="O40" s="53">
        <f t="shared" si="12"/>
        <v>0</v>
      </c>
      <c r="P40" s="53">
        <f t="shared" si="12"/>
        <v>0</v>
      </c>
      <c r="Q40" s="53">
        <f t="shared" si="12"/>
        <v>0</v>
      </c>
      <c r="R40" s="53">
        <f t="shared" si="12"/>
        <v>0</v>
      </c>
      <c r="S40" s="53">
        <f t="shared" si="12"/>
        <v>0</v>
      </c>
      <c r="T40" s="53">
        <f t="shared" si="12"/>
        <v>0</v>
      </c>
      <c r="U40" s="53">
        <f t="shared" si="12"/>
        <v>0</v>
      </c>
      <c r="V40" s="53">
        <f t="shared" si="12"/>
        <v>6</v>
      </c>
      <c r="W40" s="53" t="e">
        <f t="shared" si="12"/>
        <v>#VALUE!</v>
      </c>
      <c r="X40" s="53" t="e">
        <f t="shared" si="12"/>
        <v>#VALUE!</v>
      </c>
      <c r="Y40" s="53" t="e">
        <f t="shared" si="12"/>
        <v>#VALUE!</v>
      </c>
      <c r="Z40" s="53" t="e">
        <f t="shared" si="12"/>
        <v>#VALUE!</v>
      </c>
      <c r="AA40" s="53">
        <f t="shared" si="12"/>
        <v>0</v>
      </c>
      <c r="AB40" s="53">
        <f t="shared" si="12"/>
        <v>12</v>
      </c>
      <c r="AC40" s="53">
        <f t="shared" si="12"/>
        <v>0</v>
      </c>
      <c r="AD40" s="53">
        <f t="shared" si="12"/>
        <v>0</v>
      </c>
      <c r="AE40" s="53">
        <f t="shared" si="12"/>
        <v>0</v>
      </c>
      <c r="AF40" s="53">
        <f t="shared" si="12"/>
        <v>0</v>
      </c>
      <c r="AG40" s="53">
        <f t="shared" si="12"/>
        <v>0</v>
      </c>
      <c r="AH40" s="53">
        <f t="shared" si="12"/>
        <v>0</v>
      </c>
      <c r="AI40" s="53">
        <f t="shared" si="12"/>
        <v>0</v>
      </c>
      <c r="AJ40" s="53">
        <f t="shared" si="12"/>
        <v>0</v>
      </c>
      <c r="AK40" s="53">
        <f t="shared" si="12"/>
        <v>0</v>
      </c>
      <c r="AL40" s="53">
        <f t="shared" si="12"/>
        <v>0</v>
      </c>
      <c r="AM40" s="53">
        <f t="shared" si="12"/>
        <v>0</v>
      </c>
      <c r="AN40" s="53">
        <f t="shared" si="12"/>
        <v>0</v>
      </c>
      <c r="AO40" s="53">
        <f t="shared" si="12"/>
        <v>0</v>
      </c>
      <c r="AP40" s="53">
        <f t="shared" si="12"/>
        <v>0</v>
      </c>
      <c r="AQ40" s="53" t="e">
        <f t="shared" si="12"/>
        <v>#VALUE!</v>
      </c>
      <c r="AR40" s="53">
        <f t="shared" si="12"/>
        <v>0</v>
      </c>
      <c r="AS40" s="53">
        <f t="shared" si="12"/>
        <v>0</v>
      </c>
      <c r="AT40" s="53">
        <f t="shared" si="12"/>
        <v>0</v>
      </c>
      <c r="AU40"/>
    </row>
    <row r="41" spans="1:47" ht="13.5" thickBot="1" x14ac:dyDescent="0.25">
      <c r="B41" s="25"/>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31"/>
      <c r="AJ41" s="31"/>
      <c r="AK41" s="31"/>
      <c r="AL41" s="31"/>
      <c r="AM41" s="31"/>
      <c r="AN41" s="420" t="s">
        <v>69</v>
      </c>
      <c r="AO41" s="421"/>
      <c r="AP41" s="421"/>
      <c r="AQ41" s="421"/>
      <c r="AR41" s="421"/>
      <c r="AS41" s="421"/>
      <c r="AT41" s="52" t="e">
        <f>IF(OR((11-(C63-(C64*11)))=0,(11-(C63-(C64*11)))=1,(11-(C63-(C64*11)))=10,(11-(C63-(C64*11)))=11),1,(11-(C63-(C64*11))))</f>
        <v>#VALUE!</v>
      </c>
    </row>
    <row r="42" spans="1:47" hidden="1" x14ac:dyDescent="0.2">
      <c r="A42" s="25" t="s">
        <v>36</v>
      </c>
      <c r="B42" s="29" t="str">
        <f>TEXT(B2,"0000")</f>
        <v/>
      </c>
      <c r="D42" s="32"/>
      <c r="E42" s="32"/>
      <c r="F42" s="32"/>
      <c r="G42" s="32"/>
      <c r="H42" s="32"/>
      <c r="I42" s="32"/>
      <c r="J42" s="32"/>
      <c r="K42" s="32"/>
      <c r="L42" s="32"/>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row>
    <row r="43" spans="1:47" hidden="1" x14ac:dyDescent="0.2">
      <c r="A43" s="25" t="s">
        <v>33</v>
      </c>
      <c r="B43" s="29" t="str">
        <f>TEXT(B3,"0000000000")</f>
        <v>0000000000</v>
      </c>
    </row>
    <row r="44" spans="1:47" hidden="1" x14ac:dyDescent="0.2">
      <c r="A44" s="25" t="s">
        <v>45</v>
      </c>
      <c r="B44" s="29" t="str">
        <f>IF(B4="1/02-Simples Sem Registro","02",IF(B4="1/01-Simples Com Registro","01","03"))</f>
        <v>03</v>
      </c>
    </row>
    <row r="45" spans="1:47" hidden="1" x14ac:dyDescent="0.2">
      <c r="A45" s="25" t="s">
        <v>61</v>
      </c>
      <c r="B45" s="29" t="str">
        <f>TEXT(B5,"0000000")</f>
        <v>0000000</v>
      </c>
    </row>
    <row r="46" spans="1:47" hidden="1" x14ac:dyDescent="0.2">
      <c r="A46" s="25" t="s">
        <v>44</v>
      </c>
      <c r="B46" s="29" t="str">
        <f>TEXT(B6,"000")</f>
        <v>000</v>
      </c>
    </row>
    <row r="47" spans="1:47" ht="12.75" hidden="1" customHeight="1" x14ac:dyDescent="0.2">
      <c r="A47" s="25" t="s">
        <v>62</v>
      </c>
      <c r="B47" s="37">
        <v>36710</v>
      </c>
    </row>
    <row r="48" spans="1:47" ht="12.75" hidden="1" customHeight="1" x14ac:dyDescent="0.2">
      <c r="B48" s="37">
        <v>45710</v>
      </c>
    </row>
    <row r="49" spans="1:56" hidden="1" x14ac:dyDescent="0.2">
      <c r="A49" s="25" t="s">
        <v>37</v>
      </c>
      <c r="B49" s="35" t="str">
        <f>IF(B7&lt;&gt;"",IF(B7&gt;=B48,(B7-B48)+1000,(B7-B47)+1000),"0000")</f>
        <v>0000</v>
      </c>
    </row>
    <row r="50" spans="1:56" hidden="1" x14ac:dyDescent="0.2">
      <c r="A50" s="25" t="s">
        <v>41</v>
      </c>
      <c r="B50" s="29" t="str">
        <f>FIXED(B8,2)</f>
        <v>0,00</v>
      </c>
    </row>
    <row r="51" spans="1:56" hidden="1" x14ac:dyDescent="0.2">
      <c r="A51" s="36" t="s">
        <v>63</v>
      </c>
      <c r="B51" s="29" t="str">
        <f>TEXT(TRUNC(B50,0),"00000000")</f>
        <v>00000000</v>
      </c>
    </row>
    <row r="52" spans="1:56" hidden="1" x14ac:dyDescent="0.2">
      <c r="A52" s="36" t="s">
        <v>64</v>
      </c>
      <c r="B52" s="29" t="str">
        <f>RIGHT(B50,2)</f>
        <v>00</v>
      </c>
    </row>
    <row r="53" spans="1:56" hidden="1" x14ac:dyDescent="0.2">
      <c r="A53" s="36"/>
    </row>
    <row r="54" spans="1:56" hidden="1" x14ac:dyDescent="0.2">
      <c r="A54" s="36"/>
      <c r="B54" s="29" t="s">
        <v>65</v>
      </c>
      <c r="C54" s="64" t="str">
        <f t="shared" ref="C54:G55" si="13">TEXT(C12,"0")</f>
        <v/>
      </c>
      <c r="D54" s="64" t="str">
        <f t="shared" si="13"/>
        <v/>
      </c>
      <c r="E54" s="64" t="str">
        <f t="shared" si="13"/>
        <v/>
      </c>
      <c r="F54" s="64" t="str">
        <f t="shared" si="13"/>
        <v/>
      </c>
      <c r="G54" s="64" t="str">
        <f t="shared" si="13"/>
        <v/>
      </c>
      <c r="H54" s="64"/>
      <c r="I54" s="64" t="str">
        <f t="shared" ref="I54:M55" si="14">TEXT(I12,"0")</f>
        <v/>
      </c>
      <c r="J54" s="64" t="str">
        <f t="shared" si="14"/>
        <v/>
      </c>
      <c r="K54" s="64" t="str">
        <f t="shared" si="14"/>
        <v/>
      </c>
      <c r="L54" s="64" t="str">
        <f t="shared" si="14"/>
        <v/>
      </c>
      <c r="M54" s="64" t="str">
        <f t="shared" si="14"/>
        <v/>
      </c>
      <c r="N54" s="64"/>
      <c r="O54" s="64" t="str">
        <f t="shared" ref="O54:S55" si="15">TEXT(O12,"0")</f>
        <v/>
      </c>
      <c r="P54" s="64" t="str">
        <f t="shared" si="15"/>
        <v/>
      </c>
      <c r="Q54" s="64" t="str">
        <f t="shared" si="15"/>
        <v/>
      </c>
      <c r="R54" s="64" t="str">
        <f t="shared" si="15"/>
        <v/>
      </c>
      <c r="S54" s="64" t="str">
        <f t="shared" si="15"/>
        <v/>
      </c>
      <c r="T54" s="64"/>
      <c r="U54" s="64" t="str">
        <f t="shared" ref="U54:Z55" si="16">TEXT(U12,"0")</f>
        <v/>
      </c>
      <c r="V54" s="64" t="str">
        <f t="shared" si="16"/>
        <v/>
      </c>
      <c r="W54" s="64" t="str">
        <f t="shared" si="16"/>
        <v/>
      </c>
      <c r="X54" s="64" t="str">
        <f t="shared" si="16"/>
        <v/>
      </c>
      <c r="Y54" s="64" t="str">
        <f t="shared" si="16"/>
        <v/>
      </c>
      <c r="Z54" s="64" t="str">
        <f t="shared" si="16"/>
        <v/>
      </c>
      <c r="AA54" s="64"/>
      <c r="AB54" s="64" t="str">
        <f t="shared" ref="AB54:AF55" si="17">TEXT(AB12,"0")</f>
        <v/>
      </c>
      <c r="AC54" s="64" t="str">
        <f t="shared" si="17"/>
        <v/>
      </c>
      <c r="AD54" s="64" t="str">
        <f t="shared" si="17"/>
        <v/>
      </c>
      <c r="AE54" s="64" t="str">
        <f t="shared" si="17"/>
        <v/>
      </c>
      <c r="AF54" s="64" t="str">
        <f t="shared" si="17"/>
        <v/>
      </c>
      <c r="AG54" s="64"/>
      <c r="AH54" s="64" t="str">
        <f t="shared" ref="AH54:AM55" si="18">TEXT(AH12,"0")</f>
        <v/>
      </c>
      <c r="AI54" s="64" t="str">
        <f t="shared" si="18"/>
        <v/>
      </c>
      <c r="AJ54" s="64" t="str">
        <f t="shared" si="18"/>
        <v/>
      </c>
      <c r="AK54" s="64" t="str">
        <f t="shared" si="18"/>
        <v/>
      </c>
      <c r="AL54" s="64" t="str">
        <f t="shared" si="18"/>
        <v/>
      </c>
      <c r="AM54" s="64" t="str">
        <f t="shared" si="18"/>
        <v/>
      </c>
      <c r="AN54" s="64"/>
      <c r="AO54" s="64" t="str">
        <f>TEXT(AO12,"0")</f>
        <v/>
      </c>
      <c r="AP54" s="64"/>
      <c r="AQ54" s="64" t="str">
        <f t="shared" ref="AQ54:BD54" si="19">TEXT(AQ12,"0")</f>
        <v/>
      </c>
      <c r="AR54" s="64" t="str">
        <f t="shared" si="19"/>
        <v/>
      </c>
      <c r="AS54" s="64" t="str">
        <f t="shared" si="19"/>
        <v/>
      </c>
      <c r="AT54" s="64" t="str">
        <f t="shared" si="19"/>
        <v/>
      </c>
      <c r="AU54" s="64" t="str">
        <f t="shared" si="19"/>
        <v/>
      </c>
      <c r="AV54" s="64" t="str">
        <f t="shared" si="19"/>
        <v/>
      </c>
      <c r="AW54" s="64" t="str">
        <f t="shared" si="19"/>
        <v/>
      </c>
      <c r="AX54" s="64" t="str">
        <f t="shared" si="19"/>
        <v/>
      </c>
      <c r="AY54" s="64" t="str">
        <f t="shared" si="19"/>
        <v/>
      </c>
      <c r="AZ54" s="64" t="str">
        <f t="shared" si="19"/>
        <v/>
      </c>
      <c r="BA54" s="64" t="str">
        <f t="shared" si="19"/>
        <v/>
      </c>
      <c r="BB54" s="64" t="str">
        <f t="shared" si="19"/>
        <v/>
      </c>
      <c r="BC54" s="64" t="str">
        <f t="shared" si="19"/>
        <v/>
      </c>
      <c r="BD54" s="64" t="str">
        <f t="shared" si="19"/>
        <v/>
      </c>
    </row>
    <row r="55" spans="1:56" hidden="1" x14ac:dyDescent="0.2">
      <c r="A55" s="36"/>
      <c r="B55" s="38" t="s">
        <v>66</v>
      </c>
      <c r="C55" s="64" t="str">
        <f t="shared" si="13"/>
        <v>7</v>
      </c>
      <c r="D55" s="64" t="str">
        <f t="shared" si="13"/>
        <v>5</v>
      </c>
      <c r="E55" s="64" t="str">
        <f t="shared" si="13"/>
        <v>6</v>
      </c>
      <c r="F55" s="64" t="str">
        <f t="shared" si="13"/>
        <v>9</v>
      </c>
      <c r="G55" s="64" t="str">
        <f t="shared" si="13"/>
        <v>3</v>
      </c>
      <c r="H55" s="64"/>
      <c r="I55" s="64" t="str">
        <f t="shared" si="14"/>
        <v/>
      </c>
      <c r="J55" s="64" t="str">
        <f t="shared" si="14"/>
        <v/>
      </c>
      <c r="K55" s="64" t="str">
        <f t="shared" si="14"/>
        <v/>
      </c>
      <c r="L55" s="64" t="str">
        <f t="shared" si="14"/>
        <v/>
      </c>
      <c r="M55" s="64" t="e">
        <f t="shared" si="14"/>
        <v>#VALUE!</v>
      </c>
      <c r="N55" s="64"/>
      <c r="O55" s="64" t="str">
        <f t="shared" si="15"/>
        <v>0</v>
      </c>
      <c r="P55" s="64" t="str">
        <f t="shared" si="15"/>
        <v>3</v>
      </c>
      <c r="Q55" s="64" t="str">
        <f t="shared" si="15"/>
        <v>0</v>
      </c>
      <c r="R55" s="64" t="str">
        <f t="shared" si="15"/>
        <v>0</v>
      </c>
      <c r="S55" s="64" t="str">
        <f t="shared" si="15"/>
        <v>0</v>
      </c>
      <c r="T55" s="64"/>
      <c r="U55" s="64" t="str">
        <f t="shared" si="16"/>
        <v>0</v>
      </c>
      <c r="V55" s="64" t="str">
        <f t="shared" si="16"/>
        <v>0</v>
      </c>
      <c r="W55" s="64" t="str">
        <f t="shared" si="16"/>
        <v>0</v>
      </c>
      <c r="X55" s="64" t="str">
        <f t="shared" si="16"/>
        <v>0</v>
      </c>
      <c r="Y55" s="64" t="str">
        <f t="shared" si="16"/>
        <v>0</v>
      </c>
      <c r="Z55" s="64" t="str">
        <f t="shared" si="16"/>
        <v>4</v>
      </c>
      <c r="AA55" s="64"/>
      <c r="AB55" s="64" t="str">
        <f t="shared" si="17"/>
        <v>0</v>
      </c>
      <c r="AC55" s="64" t="str">
        <f t="shared" si="17"/>
        <v>0</v>
      </c>
      <c r="AD55" s="64" t="str">
        <f t="shared" si="17"/>
        <v>0</v>
      </c>
      <c r="AE55" s="64" t="str">
        <f t="shared" si="17"/>
        <v>0</v>
      </c>
      <c r="AF55" s="64" t="str">
        <f t="shared" si="17"/>
        <v>0</v>
      </c>
      <c r="AG55" s="64"/>
      <c r="AH55" s="64" t="str">
        <f t="shared" si="18"/>
        <v>0</v>
      </c>
      <c r="AI55" s="64" t="e">
        <f t="shared" si="18"/>
        <v>#VALUE!</v>
      </c>
      <c r="AJ55" s="64" t="str">
        <f t="shared" si="18"/>
        <v>0</v>
      </c>
      <c r="AK55" s="64" t="str">
        <f t="shared" si="18"/>
        <v>0</v>
      </c>
      <c r="AL55" s="64" t="str">
        <f t="shared" si="18"/>
        <v>0</v>
      </c>
      <c r="AM55" s="64" t="e">
        <f t="shared" si="18"/>
        <v>#VALUE!</v>
      </c>
      <c r="AN55" s="64"/>
      <c r="AO55" s="64" t="e">
        <f>TEXT(AO13,"0")</f>
        <v>#VALUE!</v>
      </c>
      <c r="AP55" s="64"/>
      <c r="AQ55" s="64" t="str">
        <f t="shared" ref="AQ55:BD55" si="20">TEXT(AQ13,"0")</f>
        <v>0</v>
      </c>
      <c r="AR55" s="64" t="str">
        <f t="shared" si="20"/>
        <v>0</v>
      </c>
      <c r="AS55" s="64" t="str">
        <f t="shared" si="20"/>
        <v>0</v>
      </c>
      <c r="AT55" s="64" t="str">
        <f t="shared" si="20"/>
        <v>0</v>
      </c>
      <c r="AU55" s="64" t="str">
        <f t="shared" si="20"/>
        <v>0</v>
      </c>
      <c r="AV55" s="64" t="str">
        <f t="shared" si="20"/>
        <v>0</v>
      </c>
      <c r="AW55" s="64" t="str">
        <f t="shared" si="20"/>
        <v>0</v>
      </c>
      <c r="AX55" s="64" t="str">
        <f t="shared" si="20"/>
        <v>0</v>
      </c>
      <c r="AY55" s="64" t="str">
        <f t="shared" si="20"/>
        <v>0</v>
      </c>
      <c r="AZ55" s="64" t="str">
        <f t="shared" si="20"/>
        <v>0</v>
      </c>
      <c r="BA55" s="64" t="str">
        <f t="shared" si="20"/>
        <v>0</v>
      </c>
      <c r="BB55" s="64" t="str">
        <f t="shared" si="20"/>
        <v>0</v>
      </c>
      <c r="BC55" s="64" t="str">
        <f t="shared" si="20"/>
        <v>0</v>
      </c>
      <c r="BD55" s="64" t="str">
        <f t="shared" si="20"/>
        <v>0</v>
      </c>
    </row>
    <row r="56" spans="1:56" hidden="1" x14ac:dyDescent="0.2">
      <c r="A56" s="36"/>
      <c r="C56" s="25"/>
    </row>
    <row r="57" spans="1:56" hidden="1" x14ac:dyDescent="0.2">
      <c r="A57" s="36"/>
      <c r="B57" s="29" t="s">
        <v>67</v>
      </c>
      <c r="C57" s="32" t="str">
        <f t="shared" ref="C57:K57" si="21">LEFT(C30,1)</f>
        <v>1</v>
      </c>
      <c r="D57" s="32" t="str">
        <f t="shared" si="21"/>
        <v>0</v>
      </c>
      <c r="E57" s="32" t="str">
        <f t="shared" si="21"/>
        <v>1</v>
      </c>
      <c r="F57" s="32" t="str">
        <f t="shared" si="21"/>
        <v>0</v>
      </c>
      <c r="G57" s="32" t="str">
        <f t="shared" si="21"/>
        <v>0</v>
      </c>
      <c r="H57" s="32" t="e">
        <f t="shared" si="21"/>
        <v>#VALUE!</v>
      </c>
      <c r="I57" s="32" t="e">
        <f t="shared" si="21"/>
        <v>#VALUE!</v>
      </c>
      <c r="J57" s="32" t="e">
        <f t="shared" si="21"/>
        <v>#VALUE!</v>
      </c>
      <c r="K57" s="32" t="e">
        <f t="shared" si="21"/>
        <v>#VALUE!</v>
      </c>
      <c r="L57" s="32"/>
      <c r="M57" s="32" t="str">
        <f t="shared" ref="M57:V57" si="22">LEFT(M30,1)</f>
        <v>0</v>
      </c>
      <c r="N57" s="32" t="str">
        <f t="shared" si="22"/>
        <v>0</v>
      </c>
      <c r="O57" s="32" t="str">
        <f t="shared" si="22"/>
        <v>0</v>
      </c>
      <c r="P57" s="32" t="str">
        <f t="shared" si="22"/>
        <v>0</v>
      </c>
      <c r="Q57" s="32" t="str">
        <f t="shared" si="22"/>
        <v>0</v>
      </c>
      <c r="R57" s="32" t="str">
        <f t="shared" si="22"/>
        <v>0</v>
      </c>
      <c r="S57" s="32" t="str">
        <f t="shared" si="22"/>
        <v>0</v>
      </c>
      <c r="T57" s="32" t="str">
        <f t="shared" si="22"/>
        <v>0</v>
      </c>
      <c r="U57" s="32" t="str">
        <f t="shared" si="22"/>
        <v>0</v>
      </c>
      <c r="V57" s="32" t="str">
        <f t="shared" si="22"/>
        <v>0</v>
      </c>
      <c r="W57" s="31"/>
      <c r="X57" s="32" t="str">
        <f t="shared" ref="X57:AG57" si="23">LEFT(X30,1)</f>
        <v>0</v>
      </c>
      <c r="Y57" s="32" t="str">
        <f t="shared" si="23"/>
        <v>0</v>
      </c>
      <c r="Z57" s="32" t="str">
        <f t="shared" si="23"/>
        <v>0</v>
      </c>
      <c r="AA57" s="32" t="str">
        <f t="shared" si="23"/>
        <v>0</v>
      </c>
      <c r="AB57" s="32" t="str">
        <f t="shared" si="23"/>
        <v>0</v>
      </c>
      <c r="AC57" s="32" t="str">
        <f t="shared" si="23"/>
        <v>0</v>
      </c>
      <c r="AD57" s="32" t="e">
        <f t="shared" si="23"/>
        <v>#VALUE!</v>
      </c>
      <c r="AE57" s="32" t="str">
        <f t="shared" si="23"/>
        <v>0</v>
      </c>
      <c r="AF57" s="32" t="str">
        <f t="shared" si="23"/>
        <v>0</v>
      </c>
      <c r="AG57" s="32" t="str">
        <f t="shared" si="23"/>
        <v>0</v>
      </c>
      <c r="AH57" s="31"/>
    </row>
    <row r="58" spans="1:56" hidden="1" x14ac:dyDescent="0.2">
      <c r="C58" s="32" t="str">
        <f t="shared" ref="C58:K58" si="24">RIGHT(C30,1)</f>
        <v>4</v>
      </c>
      <c r="D58" s="32" t="str">
        <f t="shared" si="24"/>
        <v>5</v>
      </c>
      <c r="E58" s="32" t="str">
        <f t="shared" si="24"/>
        <v>2</v>
      </c>
      <c r="F58" s="32" t="str">
        <f t="shared" si="24"/>
        <v>9</v>
      </c>
      <c r="G58" s="32" t="str">
        <f t="shared" si="24"/>
        <v>6</v>
      </c>
      <c r="H58" s="32" t="e">
        <f t="shared" si="24"/>
        <v>#VALUE!</v>
      </c>
      <c r="I58" s="32" t="e">
        <f t="shared" si="24"/>
        <v>#VALUE!</v>
      </c>
      <c r="J58" s="32" t="e">
        <f t="shared" si="24"/>
        <v>#VALUE!</v>
      </c>
      <c r="K58" s="32" t="e">
        <f t="shared" si="24"/>
        <v>#VALUE!</v>
      </c>
      <c r="L58" s="32"/>
      <c r="M58" s="32" t="str">
        <f t="shared" ref="M58:V58" si="25">RIGHT(M30,1)</f>
        <v>0</v>
      </c>
      <c r="N58" s="32" t="str">
        <f t="shared" si="25"/>
        <v>6</v>
      </c>
      <c r="O58" s="32" t="str">
        <f t="shared" si="25"/>
        <v>0</v>
      </c>
      <c r="P58" s="32" t="str">
        <f t="shared" si="25"/>
        <v>0</v>
      </c>
      <c r="Q58" s="32" t="str">
        <f t="shared" si="25"/>
        <v>0</v>
      </c>
      <c r="R58" s="32" t="str">
        <f t="shared" si="25"/>
        <v>0</v>
      </c>
      <c r="S58" s="32" t="str">
        <f t="shared" si="25"/>
        <v>0</v>
      </c>
      <c r="T58" s="32" t="str">
        <f t="shared" si="25"/>
        <v>0</v>
      </c>
      <c r="U58" s="32" t="str">
        <f t="shared" si="25"/>
        <v>0</v>
      </c>
      <c r="V58" s="32" t="str">
        <f t="shared" si="25"/>
        <v>0</v>
      </c>
      <c r="W58" s="31"/>
      <c r="X58" s="32" t="str">
        <f t="shared" ref="X58:AG58" si="26">RIGHT(X30,1)</f>
        <v>0</v>
      </c>
      <c r="Y58" s="32" t="str">
        <f t="shared" si="26"/>
        <v>0</v>
      </c>
      <c r="Z58" s="32" t="str">
        <f t="shared" si="26"/>
        <v>0</v>
      </c>
      <c r="AA58" s="32" t="str">
        <f t="shared" si="26"/>
        <v>0</v>
      </c>
      <c r="AB58" s="32" t="str">
        <f t="shared" si="26"/>
        <v>0</v>
      </c>
      <c r="AC58" s="32" t="str">
        <f t="shared" si="26"/>
        <v>0</v>
      </c>
      <c r="AD58" s="32" t="e">
        <f t="shared" si="26"/>
        <v>#VALUE!</v>
      </c>
      <c r="AE58" s="32" t="str">
        <f t="shared" si="26"/>
        <v>0</v>
      </c>
      <c r="AF58" s="32" t="str">
        <f t="shared" si="26"/>
        <v>0</v>
      </c>
      <c r="AG58" s="32" t="str">
        <f t="shared" si="26"/>
        <v>0</v>
      </c>
      <c r="AH58" s="31"/>
    </row>
    <row r="59" spans="1:56" hidden="1" x14ac:dyDescent="0.2">
      <c r="B59" s="25"/>
      <c r="C59" s="33">
        <f t="shared" ref="C59:K59" si="27">C57+C58</f>
        <v>5</v>
      </c>
      <c r="D59" s="33">
        <f t="shared" si="27"/>
        <v>5</v>
      </c>
      <c r="E59" s="33">
        <f t="shared" si="27"/>
        <v>3</v>
      </c>
      <c r="F59" s="33">
        <f t="shared" si="27"/>
        <v>9</v>
      </c>
      <c r="G59" s="33">
        <f t="shared" si="27"/>
        <v>6</v>
      </c>
      <c r="H59" s="33" t="e">
        <f t="shared" si="27"/>
        <v>#VALUE!</v>
      </c>
      <c r="I59" s="33" t="e">
        <f t="shared" si="27"/>
        <v>#VALUE!</v>
      </c>
      <c r="J59" s="33" t="e">
        <f t="shared" si="27"/>
        <v>#VALUE!</v>
      </c>
      <c r="K59" s="33" t="e">
        <f t="shared" si="27"/>
        <v>#VALUE!</v>
      </c>
      <c r="L59" s="33" t="e">
        <f>SUM(C59:K59)</f>
        <v>#VALUE!</v>
      </c>
      <c r="M59" s="33">
        <f t="shared" ref="M59:V59" si="28">M57+M58</f>
        <v>0</v>
      </c>
      <c r="N59" s="33">
        <f t="shared" si="28"/>
        <v>6</v>
      </c>
      <c r="O59" s="33">
        <f t="shared" si="28"/>
        <v>0</v>
      </c>
      <c r="P59" s="33">
        <f t="shared" si="28"/>
        <v>0</v>
      </c>
      <c r="Q59" s="33">
        <f t="shared" si="28"/>
        <v>0</v>
      </c>
      <c r="R59" s="33">
        <f t="shared" si="28"/>
        <v>0</v>
      </c>
      <c r="S59" s="33">
        <f t="shared" si="28"/>
        <v>0</v>
      </c>
      <c r="T59" s="33">
        <f t="shared" si="28"/>
        <v>0</v>
      </c>
      <c r="U59" s="33">
        <f t="shared" si="28"/>
        <v>0</v>
      </c>
      <c r="V59" s="33">
        <f t="shared" si="28"/>
        <v>0</v>
      </c>
      <c r="W59" s="33">
        <f>SUM(M59:V59)</f>
        <v>6</v>
      </c>
      <c r="X59" s="33">
        <f t="shared" ref="X59:AG59" si="29">X57+X58</f>
        <v>0</v>
      </c>
      <c r="Y59" s="33">
        <f t="shared" si="29"/>
        <v>0</v>
      </c>
      <c r="Z59" s="33">
        <f t="shared" si="29"/>
        <v>0</v>
      </c>
      <c r="AA59" s="33">
        <f t="shared" si="29"/>
        <v>0</v>
      </c>
      <c r="AB59" s="33">
        <f t="shared" si="29"/>
        <v>0</v>
      </c>
      <c r="AC59" s="33">
        <f t="shared" si="29"/>
        <v>0</v>
      </c>
      <c r="AD59" s="33" t="e">
        <f t="shared" si="29"/>
        <v>#VALUE!</v>
      </c>
      <c r="AE59" s="33">
        <f t="shared" si="29"/>
        <v>0</v>
      </c>
      <c r="AF59" s="33">
        <f t="shared" si="29"/>
        <v>0</v>
      </c>
      <c r="AG59" s="33">
        <f t="shared" si="29"/>
        <v>0</v>
      </c>
      <c r="AH59" s="33" t="e">
        <f>SUM(X59:AG59)</f>
        <v>#VALUE!</v>
      </c>
    </row>
    <row r="60" spans="1:56" hidden="1" x14ac:dyDescent="0.2">
      <c r="C60" s="34"/>
      <c r="D60" s="34"/>
      <c r="E60" s="34"/>
      <c r="F60" s="34"/>
      <c r="G60" s="34"/>
      <c r="H60" s="34"/>
      <c r="I60" s="34"/>
      <c r="J60" s="34"/>
      <c r="K60" s="34"/>
      <c r="L60" s="31" t="e">
        <f>(TRUNC(L59/10,0)+1)*10</f>
        <v>#VALUE!</v>
      </c>
      <c r="M60" s="34"/>
      <c r="N60" s="34"/>
      <c r="O60" s="34"/>
      <c r="P60" s="34"/>
      <c r="Q60" s="34"/>
      <c r="R60" s="34"/>
      <c r="S60" s="34"/>
      <c r="T60" s="34"/>
      <c r="U60" s="34"/>
      <c r="V60" s="34"/>
      <c r="W60" s="31">
        <f>(TRUNC(W59/10,0)+1)*10</f>
        <v>10</v>
      </c>
      <c r="X60" s="31"/>
      <c r="Y60" s="31"/>
      <c r="Z60" s="31"/>
      <c r="AA60" s="31"/>
      <c r="AB60" s="31"/>
      <c r="AC60" s="31"/>
      <c r="AD60" s="31"/>
      <c r="AE60" s="31"/>
      <c r="AF60" s="31"/>
      <c r="AG60" s="31"/>
      <c r="AH60" s="31" t="e">
        <f>(TRUNC(AH59/10,0)+1)*10</f>
        <v>#VALUE!</v>
      </c>
    </row>
    <row r="61" spans="1:56" hidden="1" x14ac:dyDescent="0.2">
      <c r="A61" s="39"/>
      <c r="C61" s="31"/>
      <c r="D61" s="31"/>
      <c r="E61" s="31"/>
      <c r="F61" s="31"/>
      <c r="G61" s="31"/>
      <c r="H61" s="31"/>
      <c r="I61" s="31"/>
      <c r="J61" s="31"/>
      <c r="K61" s="31"/>
      <c r="L61" s="35" t="e">
        <f>L60-L59</f>
        <v>#VALUE!</v>
      </c>
      <c r="M61" s="29"/>
      <c r="N61" s="29"/>
      <c r="O61" s="29"/>
      <c r="P61" s="29"/>
      <c r="Q61" s="29"/>
      <c r="R61" s="29"/>
      <c r="S61" s="29"/>
      <c r="T61" s="29"/>
      <c r="U61" s="29"/>
      <c r="V61" s="29"/>
      <c r="W61" s="35">
        <f>W60-W59</f>
        <v>4</v>
      </c>
      <c r="X61" s="29"/>
      <c r="Y61" s="29"/>
      <c r="Z61" s="29"/>
      <c r="AA61" s="29"/>
      <c r="AB61" s="29"/>
      <c r="AC61" s="29"/>
      <c r="AD61" s="29"/>
      <c r="AE61" s="29"/>
      <c r="AF61" s="29"/>
      <c r="AG61" s="29"/>
      <c r="AH61" s="35" t="e">
        <f>AH60-AH59</f>
        <v>#VALUE!</v>
      </c>
    </row>
    <row r="62" spans="1:56" hidden="1" x14ac:dyDescent="0.2">
      <c r="A62" s="36"/>
      <c r="C62" s="25"/>
    </row>
    <row r="63" spans="1:56" hidden="1" x14ac:dyDescent="0.2">
      <c r="B63" s="29" t="s">
        <v>68</v>
      </c>
      <c r="C63" s="31" t="e">
        <f>SUM(C40:AT40)</f>
        <v>#VALUE!</v>
      </c>
    </row>
    <row r="64" spans="1:56" hidden="1" x14ac:dyDescent="0.2">
      <c r="C64" s="31" t="e">
        <f>TRUNC(C63/11,0)</f>
        <v>#VALUE!</v>
      </c>
    </row>
    <row r="65" spans="3:3" x14ac:dyDescent="0.2">
      <c r="C65" s="25"/>
    </row>
  </sheetData>
  <sheetProtection password="BB93" sheet="1" selectLockedCells="1"/>
  <protectedRanges>
    <protectedRange sqref="B9:G9 B8 B7 B6 B5" name="Intervalo1"/>
  </protectedRanges>
  <mergeCells count="44">
    <mergeCell ref="G31:K31"/>
    <mergeCell ref="I11:L11"/>
    <mergeCell ref="O11:P11"/>
    <mergeCell ref="M27:N27"/>
    <mergeCell ref="H37:K37"/>
    <mergeCell ref="L37:U37"/>
    <mergeCell ref="C34:F34"/>
    <mergeCell ref="G34:J34"/>
    <mergeCell ref="C33:F33"/>
    <mergeCell ref="G33:J33"/>
    <mergeCell ref="AN41:AS41"/>
    <mergeCell ref="AC37:AI37"/>
    <mergeCell ref="AJ37:AQ37"/>
    <mergeCell ref="AR37:AT37"/>
    <mergeCell ref="K35:L35"/>
    <mergeCell ref="G35:J35"/>
    <mergeCell ref="AA37:AB37"/>
    <mergeCell ref="C37:E37"/>
    <mergeCell ref="W37:Z37"/>
    <mergeCell ref="AU11:BD11"/>
    <mergeCell ref="R31:V31"/>
    <mergeCell ref="AC31:AG31"/>
    <mergeCell ref="O27:U27"/>
    <mergeCell ref="R25:W25"/>
    <mergeCell ref="AE27:AG27"/>
    <mergeCell ref="AJ11:AL11"/>
    <mergeCell ref="AB11:AI11"/>
    <mergeCell ref="AQ11:AT11"/>
    <mergeCell ref="A1:B1"/>
    <mergeCell ref="X27:AD27"/>
    <mergeCell ref="C27:E27"/>
    <mergeCell ref="H27:K27"/>
    <mergeCell ref="Q21:W21"/>
    <mergeCell ref="Q11:X11"/>
    <mergeCell ref="B9:G9"/>
    <mergeCell ref="A12:B12"/>
    <mergeCell ref="G21:P21"/>
    <mergeCell ref="C11:E11"/>
    <mergeCell ref="B14:B18"/>
    <mergeCell ref="A10:B10"/>
    <mergeCell ref="T1:U2"/>
    <mergeCell ref="A13:B13"/>
    <mergeCell ref="C21:F21"/>
    <mergeCell ref="A14:A18"/>
  </mergeCells>
  <phoneticPr fontId="2" type="noConversion"/>
  <dataValidations count="1">
    <dataValidation type="textLength" operator="equal" allowBlank="1" showInputMessage="1" showErrorMessage="1" errorTitle="Erro na quantidade de caracteres" error="A linha digitável deve possuir 47 caracteres. Verifique a digitação." sqref="B9:G9">
      <formula1>47</formula1>
    </dataValidation>
  </dataValidations>
  <pageMargins left="0.31496062992125984" right="0.31496062992125984" top="0.39370078740157483" bottom="0.39370078740157483" header="0" footer="0"/>
  <pageSetup paperSize="9" scale="63" orientation="landscape" r:id="rId1"/>
  <ignoredErrors>
    <ignoredError sqref="C13:AO13 AP13:BD13" formula="1"/>
  </ignoredErrors>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Q210"/>
  <sheetViews>
    <sheetView showGridLines="0" zoomScaleNormal="100" workbookViewId="0">
      <selection activeCell="U1" sqref="U1"/>
    </sheetView>
  </sheetViews>
  <sheetFormatPr defaultRowHeight="12.75" x14ac:dyDescent="0.2"/>
  <cols>
    <col min="1" max="16384" width="9.140625" style="175"/>
  </cols>
  <sheetData>
    <row r="1" spans="1:17" x14ac:dyDescent="0.2">
      <c r="A1" s="176"/>
      <c r="B1" s="177"/>
      <c r="C1" s="177"/>
      <c r="D1" s="177"/>
      <c r="E1" s="177"/>
      <c r="F1" s="177"/>
      <c r="G1" s="177"/>
      <c r="H1" s="177"/>
      <c r="I1" s="177"/>
      <c r="J1" s="177"/>
      <c r="K1" s="177"/>
      <c r="L1" s="177"/>
      <c r="M1" s="177"/>
      <c r="N1" s="177"/>
      <c r="O1" s="177"/>
      <c r="P1" s="177"/>
      <c r="Q1" s="455" t="s">
        <v>1236</v>
      </c>
    </row>
    <row r="2" spans="1:17" x14ac:dyDescent="0.2">
      <c r="A2" s="178"/>
      <c r="B2" s="9"/>
      <c r="C2" s="9"/>
      <c r="D2" s="9"/>
      <c r="E2" s="9"/>
      <c r="F2" s="9"/>
      <c r="G2" s="9"/>
      <c r="H2" s="9"/>
      <c r="I2" s="9"/>
      <c r="J2" s="9"/>
      <c r="K2" s="9"/>
      <c r="L2" s="9"/>
      <c r="M2" s="9"/>
      <c r="N2" s="9"/>
      <c r="O2" s="9"/>
      <c r="P2" s="9"/>
      <c r="Q2" s="456"/>
    </row>
    <row r="3" spans="1:17" x14ac:dyDescent="0.2">
      <c r="A3" s="178"/>
      <c r="B3" s="9"/>
      <c r="C3" s="9"/>
      <c r="D3" s="9"/>
      <c r="E3" s="9"/>
      <c r="F3" s="9"/>
      <c r="G3" s="9"/>
      <c r="H3" s="9"/>
      <c r="I3" s="9"/>
      <c r="J3" s="9"/>
      <c r="K3" s="9"/>
      <c r="L3" s="9"/>
      <c r="M3" s="9"/>
      <c r="N3" s="9"/>
      <c r="O3" s="9"/>
      <c r="P3" s="9"/>
      <c r="Q3" s="179"/>
    </row>
    <row r="4" spans="1:17" x14ac:dyDescent="0.2">
      <c r="A4" s="178"/>
      <c r="B4" s="9"/>
      <c r="C4" s="9"/>
      <c r="D4" s="9"/>
      <c r="E4" s="9"/>
      <c r="F4" s="9"/>
      <c r="G4" s="9"/>
      <c r="H4" s="9"/>
      <c r="I4" s="9"/>
      <c r="J4" s="9"/>
      <c r="K4" s="9"/>
      <c r="L4" s="9"/>
      <c r="M4" s="9"/>
      <c r="N4" s="9"/>
      <c r="O4" s="9"/>
      <c r="P4" s="9"/>
      <c r="Q4" s="179"/>
    </row>
    <row r="5" spans="1:17" x14ac:dyDescent="0.2">
      <c r="A5" s="178"/>
      <c r="B5" s="9"/>
      <c r="C5" s="9"/>
      <c r="D5" s="9"/>
      <c r="E5" s="9"/>
      <c r="F5" s="9"/>
      <c r="G5" s="9"/>
      <c r="H5" s="9"/>
      <c r="I5" s="9"/>
      <c r="J5" s="9"/>
      <c r="K5" s="9"/>
      <c r="L5" s="9"/>
      <c r="M5" s="9"/>
      <c r="N5" s="9"/>
      <c r="O5" s="9"/>
      <c r="P5" s="9"/>
      <c r="Q5" s="179"/>
    </row>
    <row r="6" spans="1:17" x14ac:dyDescent="0.2">
      <c r="A6" s="178"/>
      <c r="B6" s="9"/>
      <c r="C6" s="9"/>
      <c r="D6" s="9"/>
      <c r="E6" s="9"/>
      <c r="F6" s="9"/>
      <c r="G6" s="9"/>
      <c r="H6" s="9"/>
      <c r="I6" s="9"/>
      <c r="J6" s="9"/>
      <c r="K6" s="9"/>
      <c r="L6" s="9"/>
      <c r="M6" s="9"/>
      <c r="N6" s="9"/>
      <c r="O6" s="9"/>
      <c r="P6" s="9"/>
      <c r="Q6" s="179"/>
    </row>
    <row r="7" spans="1:17" x14ac:dyDescent="0.2">
      <c r="A7" s="178"/>
      <c r="B7" s="9"/>
      <c r="C7" s="9"/>
      <c r="D7" s="9"/>
      <c r="E7" s="9"/>
      <c r="F7" s="9"/>
      <c r="G7" s="9"/>
      <c r="H7" s="9"/>
      <c r="I7" s="9"/>
      <c r="J7" s="9"/>
      <c r="K7" s="9"/>
      <c r="L7" s="9"/>
      <c r="M7" s="9"/>
      <c r="N7" s="9"/>
      <c r="O7" s="9"/>
      <c r="P7" s="9"/>
      <c r="Q7" s="179"/>
    </row>
    <row r="8" spans="1:17" x14ac:dyDescent="0.2">
      <c r="A8" s="178"/>
      <c r="B8" s="9"/>
      <c r="C8" s="9"/>
      <c r="D8" s="9"/>
      <c r="E8" s="9"/>
      <c r="F8" s="9"/>
      <c r="G8" s="9"/>
      <c r="H8" s="9"/>
      <c r="I8" s="9"/>
      <c r="J8" s="9"/>
      <c r="K8" s="9"/>
      <c r="L8" s="9"/>
      <c r="M8" s="9"/>
      <c r="N8" s="9"/>
      <c r="O8" s="9"/>
      <c r="P8" s="9"/>
      <c r="Q8" s="179"/>
    </row>
    <row r="9" spans="1:17" x14ac:dyDescent="0.2">
      <c r="A9" s="178"/>
      <c r="B9" s="9"/>
      <c r="C9" s="9"/>
      <c r="D9" s="9"/>
      <c r="E9" s="9"/>
      <c r="F9" s="9"/>
      <c r="G9" s="9"/>
      <c r="H9" s="9"/>
      <c r="I9" s="9"/>
      <c r="J9" s="9"/>
      <c r="K9" s="9"/>
      <c r="L9" s="9"/>
      <c r="M9" s="9"/>
      <c r="N9" s="9"/>
      <c r="O9" s="9"/>
      <c r="P9" s="9"/>
      <c r="Q9" s="179"/>
    </row>
    <row r="10" spans="1:17" x14ac:dyDescent="0.2">
      <c r="A10" s="178"/>
      <c r="B10" s="9"/>
      <c r="C10" s="9"/>
      <c r="D10" s="9"/>
      <c r="E10" s="9"/>
      <c r="F10" s="9"/>
      <c r="G10" s="9"/>
      <c r="H10" s="9"/>
      <c r="I10" s="9"/>
      <c r="J10" s="9"/>
      <c r="K10" s="9"/>
      <c r="L10" s="9"/>
      <c r="M10" s="9"/>
      <c r="N10" s="9"/>
      <c r="O10" s="9"/>
      <c r="P10" s="9"/>
      <c r="Q10" s="179"/>
    </row>
    <row r="11" spans="1:17" x14ac:dyDescent="0.2">
      <c r="A11" s="178"/>
      <c r="B11" s="9"/>
      <c r="C11" s="9"/>
      <c r="D11" s="9"/>
      <c r="E11" s="9"/>
      <c r="F11" s="9"/>
      <c r="G11" s="9"/>
      <c r="H11" s="9"/>
      <c r="I11" s="9"/>
      <c r="J11" s="9"/>
      <c r="K11" s="9"/>
      <c r="L11" s="9"/>
      <c r="M11" s="9"/>
      <c r="N11" s="9"/>
      <c r="O11" s="9"/>
      <c r="P11" s="9"/>
      <c r="Q11" s="179"/>
    </row>
    <row r="12" spans="1:17" x14ac:dyDescent="0.2">
      <c r="A12" s="178"/>
      <c r="B12" s="9"/>
      <c r="C12" s="9"/>
      <c r="D12" s="9"/>
      <c r="E12" s="9"/>
      <c r="F12" s="9"/>
      <c r="G12" s="9"/>
      <c r="H12" s="9"/>
      <c r="I12" s="9"/>
      <c r="J12" s="9"/>
      <c r="K12" s="9"/>
      <c r="L12" s="9"/>
      <c r="M12" s="9"/>
      <c r="N12" s="9"/>
      <c r="O12" s="9"/>
      <c r="P12" s="9"/>
      <c r="Q12" s="179"/>
    </row>
    <row r="13" spans="1:17" x14ac:dyDescent="0.2">
      <c r="A13" s="178"/>
      <c r="B13" s="9"/>
      <c r="C13" s="9"/>
      <c r="D13" s="9"/>
      <c r="E13" s="9"/>
      <c r="F13" s="9"/>
      <c r="G13" s="9"/>
      <c r="H13" s="9"/>
      <c r="I13" s="9"/>
      <c r="J13" s="9"/>
      <c r="K13" s="9"/>
      <c r="L13" s="9"/>
      <c r="M13" s="9"/>
      <c r="N13" s="9"/>
      <c r="O13" s="9"/>
      <c r="P13" s="9"/>
      <c r="Q13" s="179"/>
    </row>
    <row r="14" spans="1:17" x14ac:dyDescent="0.2">
      <c r="A14" s="178"/>
      <c r="B14" s="9"/>
      <c r="C14" s="9"/>
      <c r="D14" s="9"/>
      <c r="E14" s="9"/>
      <c r="F14" s="9"/>
      <c r="G14" s="9"/>
      <c r="H14" s="9"/>
      <c r="I14" s="9"/>
      <c r="J14" s="9"/>
      <c r="K14" s="9"/>
      <c r="L14" s="9"/>
      <c r="M14" s="9"/>
      <c r="N14" s="9"/>
      <c r="O14" s="9"/>
      <c r="P14" s="9"/>
      <c r="Q14" s="179"/>
    </row>
    <row r="15" spans="1:17" x14ac:dyDescent="0.2">
      <c r="A15" s="178"/>
      <c r="B15" s="9"/>
      <c r="C15" s="9"/>
      <c r="D15" s="9"/>
      <c r="E15" s="9"/>
      <c r="F15" s="9"/>
      <c r="G15" s="9"/>
      <c r="H15" s="9"/>
      <c r="I15" s="9"/>
      <c r="J15" s="9"/>
      <c r="K15" s="9"/>
      <c r="L15" s="9"/>
      <c r="M15" s="9"/>
      <c r="N15" s="9"/>
      <c r="O15" s="9"/>
      <c r="P15" s="9"/>
      <c r="Q15" s="179"/>
    </row>
    <row r="16" spans="1:17" x14ac:dyDescent="0.2">
      <c r="A16" s="178"/>
      <c r="B16" s="9"/>
      <c r="C16" s="9"/>
      <c r="D16" s="9"/>
      <c r="E16" s="9"/>
      <c r="F16" s="9"/>
      <c r="G16" s="9"/>
      <c r="H16" s="9"/>
      <c r="I16" s="9"/>
      <c r="J16" s="9"/>
      <c r="K16" s="9"/>
      <c r="L16" s="9"/>
      <c r="M16" s="9"/>
      <c r="N16" s="9"/>
      <c r="O16" s="9"/>
      <c r="P16" s="9"/>
      <c r="Q16" s="179"/>
    </row>
    <row r="17" spans="1:17" x14ac:dyDescent="0.2">
      <c r="A17" s="178"/>
      <c r="B17" s="9"/>
      <c r="C17" s="9"/>
      <c r="D17" s="9"/>
      <c r="E17" s="9"/>
      <c r="F17" s="9"/>
      <c r="G17" s="9"/>
      <c r="H17" s="9"/>
      <c r="I17" s="9"/>
      <c r="J17" s="9"/>
      <c r="K17" s="9"/>
      <c r="L17" s="9"/>
      <c r="M17" s="9"/>
      <c r="N17" s="9"/>
      <c r="O17" s="9"/>
      <c r="P17" s="9"/>
      <c r="Q17" s="179"/>
    </row>
    <row r="18" spans="1:17" x14ac:dyDescent="0.2">
      <c r="A18" s="178"/>
      <c r="B18" s="9"/>
      <c r="C18" s="9"/>
      <c r="D18" s="9"/>
      <c r="E18" s="9"/>
      <c r="F18" s="9"/>
      <c r="G18" s="9"/>
      <c r="H18" s="9"/>
      <c r="I18" s="9"/>
      <c r="J18" s="9"/>
      <c r="K18" s="9"/>
      <c r="L18" s="9"/>
      <c r="M18" s="9"/>
      <c r="N18" s="9"/>
      <c r="O18" s="9"/>
      <c r="P18" s="9"/>
      <c r="Q18" s="179"/>
    </row>
    <row r="19" spans="1:17" x14ac:dyDescent="0.2">
      <c r="A19" s="178"/>
      <c r="B19" s="9"/>
      <c r="C19" s="9"/>
      <c r="D19" s="9"/>
      <c r="E19" s="9"/>
      <c r="F19" s="9"/>
      <c r="G19" s="9"/>
      <c r="H19" s="9"/>
      <c r="I19" s="9"/>
      <c r="J19" s="9"/>
      <c r="K19" s="9"/>
      <c r="L19" s="9"/>
      <c r="M19" s="9"/>
      <c r="N19" s="9"/>
      <c r="O19" s="9"/>
      <c r="P19" s="9"/>
      <c r="Q19" s="179"/>
    </row>
    <row r="20" spans="1:17" x14ac:dyDescent="0.2">
      <c r="A20" s="178"/>
      <c r="B20" s="9"/>
      <c r="C20" s="9"/>
      <c r="D20" s="9"/>
      <c r="E20" s="9"/>
      <c r="F20" s="9"/>
      <c r="G20" s="9"/>
      <c r="H20" s="9"/>
      <c r="I20" s="9"/>
      <c r="J20" s="9"/>
      <c r="K20" s="9"/>
      <c r="L20" s="9"/>
      <c r="M20" s="9"/>
      <c r="N20" s="9"/>
      <c r="O20" s="9"/>
      <c r="P20" s="9"/>
      <c r="Q20" s="179"/>
    </row>
    <row r="21" spans="1:17" x14ac:dyDescent="0.2">
      <c r="A21" s="178"/>
      <c r="B21" s="9"/>
      <c r="C21" s="9"/>
      <c r="D21" s="9"/>
      <c r="E21" s="9"/>
      <c r="F21" s="9"/>
      <c r="G21" s="9"/>
      <c r="H21" s="9"/>
      <c r="I21" s="9"/>
      <c r="J21" s="9"/>
      <c r="K21" s="9"/>
      <c r="L21" s="9"/>
      <c r="M21" s="9"/>
      <c r="N21" s="9"/>
      <c r="O21" s="9"/>
      <c r="P21" s="9"/>
      <c r="Q21" s="179"/>
    </row>
    <row r="22" spans="1:17" x14ac:dyDescent="0.2">
      <c r="A22" s="178"/>
      <c r="B22" s="9"/>
      <c r="C22" s="9"/>
      <c r="D22" s="9"/>
      <c r="E22" s="9"/>
      <c r="F22" s="9"/>
      <c r="G22" s="9"/>
      <c r="H22" s="9"/>
      <c r="I22" s="9"/>
      <c r="J22" s="9"/>
      <c r="K22" s="9"/>
      <c r="L22" s="9"/>
      <c r="M22" s="9"/>
      <c r="N22" s="9"/>
      <c r="O22" s="9"/>
      <c r="P22" s="9"/>
      <c r="Q22" s="179"/>
    </row>
    <row r="23" spans="1:17" x14ac:dyDescent="0.2">
      <c r="A23" s="178"/>
      <c r="B23" s="9"/>
      <c r="C23" s="9"/>
      <c r="D23" s="9"/>
      <c r="E23" s="9"/>
      <c r="F23" s="9"/>
      <c r="G23" s="9"/>
      <c r="H23" s="9"/>
      <c r="I23" s="9"/>
      <c r="J23" s="9"/>
      <c r="K23" s="9"/>
      <c r="L23" s="9"/>
      <c r="M23" s="9"/>
      <c r="N23" s="9"/>
      <c r="O23" s="9"/>
      <c r="P23" s="9"/>
      <c r="Q23" s="179"/>
    </row>
    <row r="24" spans="1:17" x14ac:dyDescent="0.2">
      <c r="A24" s="178"/>
      <c r="B24" s="9"/>
      <c r="C24" s="9"/>
      <c r="D24" s="9"/>
      <c r="E24" s="9"/>
      <c r="F24" s="9"/>
      <c r="G24" s="9"/>
      <c r="H24" s="9"/>
      <c r="I24" s="9"/>
      <c r="J24" s="9"/>
      <c r="K24" s="9"/>
      <c r="L24" s="9"/>
      <c r="M24" s="9"/>
      <c r="N24" s="9"/>
      <c r="O24" s="9"/>
      <c r="P24" s="9"/>
      <c r="Q24" s="179"/>
    </row>
    <row r="25" spans="1:17" x14ac:dyDescent="0.2">
      <c r="A25" s="178"/>
      <c r="B25" s="9"/>
      <c r="C25" s="9"/>
      <c r="D25" s="9"/>
      <c r="E25" s="9"/>
      <c r="F25" s="9"/>
      <c r="G25" s="9"/>
      <c r="H25" s="9"/>
      <c r="I25" s="9"/>
      <c r="J25" s="9"/>
      <c r="K25" s="9"/>
      <c r="L25" s="9"/>
      <c r="M25" s="9"/>
      <c r="N25" s="9"/>
      <c r="O25" s="9"/>
      <c r="P25" s="9"/>
      <c r="Q25" s="179"/>
    </row>
    <row r="26" spans="1:17" x14ac:dyDescent="0.2">
      <c r="A26" s="178"/>
      <c r="B26" s="9"/>
      <c r="C26" s="9"/>
      <c r="D26" s="9"/>
      <c r="E26" s="9"/>
      <c r="F26" s="9"/>
      <c r="G26" s="9"/>
      <c r="H26" s="9"/>
      <c r="I26" s="9"/>
      <c r="J26" s="9"/>
      <c r="K26" s="9"/>
      <c r="L26" s="9"/>
      <c r="M26" s="9"/>
      <c r="N26" s="9"/>
      <c r="O26" s="9"/>
      <c r="P26" s="9"/>
      <c r="Q26" s="179"/>
    </row>
    <row r="27" spans="1:17" x14ac:dyDescent="0.2">
      <c r="A27" s="178"/>
      <c r="B27" s="9"/>
      <c r="C27" s="9"/>
      <c r="D27" s="9"/>
      <c r="E27" s="9"/>
      <c r="F27" s="9"/>
      <c r="G27" s="9"/>
      <c r="H27" s="9"/>
      <c r="I27" s="9"/>
      <c r="J27" s="9"/>
      <c r="K27" s="9"/>
      <c r="L27" s="9"/>
      <c r="M27" s="9"/>
      <c r="N27" s="9"/>
      <c r="O27" s="9"/>
      <c r="P27" s="9"/>
      <c r="Q27" s="179"/>
    </row>
    <row r="28" spans="1:17" x14ac:dyDescent="0.2">
      <c r="A28" s="178"/>
      <c r="B28" s="9"/>
      <c r="C28" s="9"/>
      <c r="D28" s="9"/>
      <c r="E28" s="9"/>
      <c r="F28" s="9"/>
      <c r="G28" s="9"/>
      <c r="H28" s="9"/>
      <c r="I28" s="9"/>
      <c r="J28" s="9"/>
      <c r="K28" s="9"/>
      <c r="L28" s="9"/>
      <c r="M28" s="9"/>
      <c r="N28" s="9"/>
      <c r="O28" s="9"/>
      <c r="P28" s="9"/>
      <c r="Q28" s="179"/>
    </row>
    <row r="29" spans="1:17" x14ac:dyDescent="0.2">
      <c r="A29" s="178"/>
      <c r="B29" s="9"/>
      <c r="C29" s="9"/>
      <c r="D29" s="9"/>
      <c r="E29" s="9"/>
      <c r="F29" s="9"/>
      <c r="G29" s="9"/>
      <c r="H29" s="9"/>
      <c r="I29" s="9"/>
      <c r="J29" s="9"/>
      <c r="K29" s="9"/>
      <c r="L29" s="9"/>
      <c r="M29" s="9"/>
      <c r="N29" s="9"/>
      <c r="O29" s="9"/>
      <c r="P29" s="9"/>
      <c r="Q29" s="179"/>
    </row>
    <row r="30" spans="1:17" x14ac:dyDescent="0.2">
      <c r="A30" s="178"/>
      <c r="B30" s="9"/>
      <c r="C30" s="9"/>
      <c r="D30" s="9"/>
      <c r="E30" s="9"/>
      <c r="F30" s="9"/>
      <c r="G30" s="9"/>
      <c r="H30" s="9"/>
      <c r="I30" s="9"/>
      <c r="J30" s="9"/>
      <c r="K30" s="9"/>
      <c r="L30" s="9"/>
      <c r="M30" s="9"/>
      <c r="N30" s="9"/>
      <c r="O30" s="9"/>
      <c r="P30" s="9"/>
      <c r="Q30" s="179"/>
    </row>
    <row r="31" spans="1:17" x14ac:dyDescent="0.2">
      <c r="A31" s="178"/>
      <c r="B31" s="9"/>
      <c r="C31" s="9"/>
      <c r="D31" s="9"/>
      <c r="E31" s="9"/>
      <c r="F31" s="9"/>
      <c r="G31" s="9"/>
      <c r="H31" s="9"/>
      <c r="I31" s="9"/>
      <c r="J31" s="9"/>
      <c r="K31" s="9"/>
      <c r="L31" s="9"/>
      <c r="M31" s="9"/>
      <c r="N31" s="9"/>
      <c r="O31" s="9"/>
      <c r="P31" s="9"/>
      <c r="Q31" s="179"/>
    </row>
    <row r="32" spans="1:17" x14ac:dyDescent="0.2">
      <c r="A32" s="178"/>
      <c r="B32" s="9"/>
      <c r="C32" s="9"/>
      <c r="D32" s="9"/>
      <c r="E32" s="9"/>
      <c r="F32" s="9"/>
      <c r="G32" s="9"/>
      <c r="H32" s="9"/>
      <c r="I32" s="9"/>
      <c r="J32" s="9"/>
      <c r="K32" s="9"/>
      <c r="L32" s="9"/>
      <c r="M32" s="9"/>
      <c r="N32" s="9"/>
      <c r="O32" s="9"/>
      <c r="P32" s="9"/>
      <c r="Q32" s="179"/>
    </row>
    <row r="33" spans="1:17" x14ac:dyDescent="0.2">
      <c r="A33" s="178"/>
      <c r="B33" s="9"/>
      <c r="C33" s="9"/>
      <c r="D33" s="9"/>
      <c r="E33" s="9"/>
      <c r="F33" s="9"/>
      <c r="G33" s="9"/>
      <c r="H33" s="9"/>
      <c r="I33" s="9"/>
      <c r="J33" s="9"/>
      <c r="K33" s="9"/>
      <c r="L33" s="9"/>
      <c r="M33" s="9"/>
      <c r="N33" s="9"/>
      <c r="O33" s="9"/>
      <c r="P33" s="9"/>
      <c r="Q33" s="179"/>
    </row>
    <row r="34" spans="1:17" x14ac:dyDescent="0.2">
      <c r="A34" s="178"/>
      <c r="B34" s="9"/>
      <c r="C34" s="9"/>
      <c r="D34" s="9"/>
      <c r="E34" s="9"/>
      <c r="F34" s="9"/>
      <c r="G34" s="9"/>
      <c r="H34" s="9"/>
      <c r="I34" s="9"/>
      <c r="J34" s="9"/>
      <c r="K34" s="9"/>
      <c r="L34" s="9"/>
      <c r="M34" s="9"/>
      <c r="N34" s="9"/>
      <c r="O34" s="9"/>
      <c r="P34" s="9"/>
      <c r="Q34" s="179"/>
    </row>
    <row r="35" spans="1:17" x14ac:dyDescent="0.2">
      <c r="A35" s="178"/>
      <c r="B35" s="9"/>
      <c r="C35" s="9"/>
      <c r="D35" s="9"/>
      <c r="E35" s="9"/>
      <c r="F35" s="9"/>
      <c r="G35" s="9"/>
      <c r="H35" s="9"/>
      <c r="I35" s="9"/>
      <c r="J35" s="9"/>
      <c r="K35" s="9"/>
      <c r="L35" s="9"/>
      <c r="M35" s="9"/>
      <c r="N35" s="9"/>
      <c r="O35" s="9"/>
      <c r="P35" s="9"/>
      <c r="Q35" s="179"/>
    </row>
    <row r="36" spans="1:17" x14ac:dyDescent="0.2">
      <c r="A36" s="178"/>
      <c r="B36" s="9"/>
      <c r="C36" s="9"/>
      <c r="D36" s="9"/>
      <c r="E36" s="9"/>
      <c r="F36" s="9"/>
      <c r="G36" s="9"/>
      <c r="H36" s="9"/>
      <c r="I36" s="9"/>
      <c r="J36" s="9"/>
      <c r="K36" s="9"/>
      <c r="L36" s="9"/>
      <c r="M36" s="9"/>
      <c r="N36" s="9"/>
      <c r="O36" s="9"/>
      <c r="P36" s="9"/>
      <c r="Q36" s="179"/>
    </row>
    <row r="37" spans="1:17" x14ac:dyDescent="0.2">
      <c r="A37" s="178"/>
      <c r="B37" s="9"/>
      <c r="C37" s="9"/>
      <c r="D37" s="9"/>
      <c r="E37" s="9"/>
      <c r="F37" s="9"/>
      <c r="G37" s="9"/>
      <c r="H37" s="9"/>
      <c r="I37" s="9"/>
      <c r="J37" s="9"/>
      <c r="K37" s="9"/>
      <c r="L37" s="9"/>
      <c r="M37" s="9"/>
      <c r="N37" s="9"/>
      <c r="O37" s="9"/>
      <c r="P37" s="9"/>
      <c r="Q37" s="179"/>
    </row>
    <row r="38" spans="1:17" x14ac:dyDescent="0.2">
      <c r="A38" s="178"/>
      <c r="B38" s="9"/>
      <c r="C38" s="9"/>
      <c r="D38" s="9"/>
      <c r="E38" s="9"/>
      <c r="F38" s="9"/>
      <c r="G38" s="9"/>
      <c r="H38" s="9"/>
      <c r="I38" s="9"/>
      <c r="J38" s="9"/>
      <c r="K38" s="9"/>
      <c r="L38" s="9"/>
      <c r="M38" s="9"/>
      <c r="N38" s="9"/>
      <c r="O38" s="9"/>
      <c r="P38" s="9"/>
      <c r="Q38" s="179"/>
    </row>
    <row r="39" spans="1:17" x14ac:dyDescent="0.2">
      <c r="A39" s="178"/>
      <c r="B39" s="9"/>
      <c r="C39" s="9"/>
      <c r="D39" s="9"/>
      <c r="E39" s="9"/>
      <c r="F39" s="9"/>
      <c r="G39" s="9"/>
      <c r="H39" s="9"/>
      <c r="I39" s="9"/>
      <c r="J39" s="9"/>
      <c r="K39" s="9"/>
      <c r="L39" s="9"/>
      <c r="M39" s="9"/>
      <c r="N39" s="9"/>
      <c r="O39" s="9"/>
      <c r="P39" s="9"/>
      <c r="Q39" s="179"/>
    </row>
    <row r="40" spans="1:17" x14ac:dyDescent="0.2">
      <c r="A40" s="178"/>
      <c r="B40" s="9"/>
      <c r="C40" s="9"/>
      <c r="D40" s="9"/>
      <c r="E40" s="9"/>
      <c r="F40" s="9"/>
      <c r="G40" s="9"/>
      <c r="H40" s="9"/>
      <c r="I40" s="9"/>
      <c r="J40" s="9"/>
      <c r="K40" s="9"/>
      <c r="L40" s="9"/>
      <c r="M40" s="9"/>
      <c r="N40" s="9"/>
      <c r="O40" s="9"/>
      <c r="P40" s="9"/>
      <c r="Q40" s="179"/>
    </row>
    <row r="41" spans="1:17" x14ac:dyDescent="0.2">
      <c r="A41" s="178"/>
      <c r="B41" s="9"/>
      <c r="C41" s="9"/>
      <c r="D41" s="9"/>
      <c r="E41" s="9"/>
      <c r="F41" s="9"/>
      <c r="G41" s="9"/>
      <c r="H41" s="9"/>
      <c r="I41" s="9"/>
      <c r="J41" s="9"/>
      <c r="K41" s="9"/>
      <c r="L41" s="9"/>
      <c r="M41" s="9"/>
      <c r="N41" s="9"/>
      <c r="O41" s="9"/>
      <c r="P41" s="9"/>
      <c r="Q41" s="179"/>
    </row>
    <row r="42" spans="1:17" x14ac:dyDescent="0.2">
      <c r="A42" s="178"/>
      <c r="B42" s="9"/>
      <c r="C42" s="9"/>
      <c r="D42" s="9"/>
      <c r="E42" s="9"/>
      <c r="F42" s="9"/>
      <c r="G42" s="9"/>
      <c r="H42" s="9"/>
      <c r="I42" s="9"/>
      <c r="J42" s="9"/>
      <c r="K42" s="9"/>
      <c r="L42" s="9"/>
      <c r="M42" s="9"/>
      <c r="N42" s="9"/>
      <c r="O42" s="9"/>
      <c r="P42" s="9"/>
      <c r="Q42" s="179"/>
    </row>
    <row r="43" spans="1:17" x14ac:dyDescent="0.2">
      <c r="A43" s="178"/>
      <c r="B43" s="9"/>
      <c r="C43" s="9"/>
      <c r="D43" s="9"/>
      <c r="E43" s="9"/>
      <c r="F43" s="9"/>
      <c r="G43" s="9"/>
      <c r="H43" s="9"/>
      <c r="I43" s="9"/>
      <c r="J43" s="9"/>
      <c r="K43" s="9"/>
      <c r="L43" s="9"/>
      <c r="M43" s="9"/>
      <c r="N43" s="9"/>
      <c r="O43" s="9"/>
      <c r="P43" s="9"/>
      <c r="Q43" s="179"/>
    </row>
    <row r="44" spans="1:17" x14ac:dyDescent="0.2">
      <c r="A44" s="178"/>
      <c r="B44" s="9"/>
      <c r="C44" s="9"/>
      <c r="D44" s="9"/>
      <c r="E44" s="9"/>
      <c r="F44" s="9"/>
      <c r="G44" s="9"/>
      <c r="H44" s="9"/>
      <c r="I44" s="9"/>
      <c r="J44" s="9"/>
      <c r="K44" s="9"/>
      <c r="L44" s="9"/>
      <c r="M44" s="9"/>
      <c r="N44" s="9"/>
      <c r="O44" s="9"/>
      <c r="P44" s="9"/>
      <c r="Q44" s="179"/>
    </row>
    <row r="45" spans="1:17" x14ac:dyDescent="0.2">
      <c r="A45" s="178"/>
      <c r="B45" s="9"/>
      <c r="C45" s="9"/>
      <c r="D45" s="9"/>
      <c r="E45" s="9"/>
      <c r="F45" s="9"/>
      <c r="G45" s="9"/>
      <c r="H45" s="9"/>
      <c r="I45" s="9"/>
      <c r="J45" s="9"/>
      <c r="K45" s="9"/>
      <c r="L45" s="9"/>
      <c r="M45" s="9"/>
      <c r="N45" s="9"/>
      <c r="O45" s="9"/>
      <c r="P45" s="9"/>
      <c r="Q45" s="179"/>
    </row>
    <row r="46" spans="1:17" x14ac:dyDescent="0.2">
      <c r="A46" s="178"/>
      <c r="B46" s="9"/>
      <c r="C46" s="9"/>
      <c r="D46" s="9"/>
      <c r="E46" s="9"/>
      <c r="F46" s="9"/>
      <c r="G46" s="9"/>
      <c r="H46" s="9"/>
      <c r="I46" s="9"/>
      <c r="J46" s="9"/>
      <c r="K46" s="9"/>
      <c r="L46" s="9"/>
      <c r="M46" s="9"/>
      <c r="N46" s="9"/>
      <c r="O46" s="9"/>
      <c r="P46" s="9"/>
      <c r="Q46" s="179"/>
    </row>
    <row r="47" spans="1:17" x14ac:dyDescent="0.2">
      <c r="A47" s="178"/>
      <c r="B47" s="9"/>
      <c r="C47" s="9"/>
      <c r="D47" s="9"/>
      <c r="E47" s="9"/>
      <c r="F47" s="9"/>
      <c r="G47" s="9"/>
      <c r="H47" s="9"/>
      <c r="I47" s="9"/>
      <c r="J47" s="9"/>
      <c r="K47" s="9"/>
      <c r="L47" s="9"/>
      <c r="M47" s="9"/>
      <c r="N47" s="9"/>
      <c r="O47" s="9"/>
      <c r="P47" s="9"/>
      <c r="Q47" s="179"/>
    </row>
    <row r="48" spans="1:17" x14ac:dyDescent="0.2">
      <c r="A48" s="178"/>
      <c r="B48" s="9"/>
      <c r="C48" s="9"/>
      <c r="D48" s="9"/>
      <c r="E48" s="9"/>
      <c r="F48" s="9"/>
      <c r="G48" s="9"/>
      <c r="H48" s="9"/>
      <c r="I48" s="9"/>
      <c r="J48" s="9"/>
      <c r="K48" s="9"/>
      <c r="L48" s="9"/>
      <c r="M48" s="9"/>
      <c r="N48" s="9"/>
      <c r="O48" s="9"/>
      <c r="P48" s="9"/>
      <c r="Q48" s="179"/>
    </row>
    <row r="49" spans="1:17" x14ac:dyDescent="0.2">
      <c r="A49" s="178"/>
      <c r="B49" s="9"/>
      <c r="C49" s="9"/>
      <c r="D49" s="9"/>
      <c r="E49" s="9"/>
      <c r="F49" s="9"/>
      <c r="G49" s="9"/>
      <c r="H49" s="9"/>
      <c r="I49" s="9"/>
      <c r="J49" s="9"/>
      <c r="K49" s="9"/>
      <c r="L49" s="9"/>
      <c r="M49" s="9"/>
      <c r="N49" s="9"/>
      <c r="O49" s="9"/>
      <c r="P49" s="9"/>
      <c r="Q49" s="179"/>
    </row>
    <row r="50" spans="1:17" x14ac:dyDescent="0.2">
      <c r="A50" s="178"/>
      <c r="B50" s="9"/>
      <c r="C50" s="9"/>
      <c r="D50" s="9"/>
      <c r="E50" s="9"/>
      <c r="F50" s="9"/>
      <c r="G50" s="9"/>
      <c r="H50" s="9"/>
      <c r="I50" s="9"/>
      <c r="J50" s="9"/>
      <c r="K50" s="9"/>
      <c r="L50" s="9"/>
      <c r="M50" s="9"/>
      <c r="N50" s="9"/>
      <c r="O50" s="9"/>
      <c r="P50" s="9"/>
      <c r="Q50" s="179"/>
    </row>
    <row r="51" spans="1:17" x14ac:dyDescent="0.2">
      <c r="A51" s="178"/>
      <c r="B51" s="9"/>
      <c r="C51" s="9"/>
      <c r="D51" s="9"/>
      <c r="E51" s="9"/>
      <c r="F51" s="9"/>
      <c r="G51" s="9"/>
      <c r="H51" s="9"/>
      <c r="I51" s="9"/>
      <c r="J51" s="9"/>
      <c r="K51" s="9"/>
      <c r="L51" s="9"/>
      <c r="M51" s="9"/>
      <c r="N51" s="9"/>
      <c r="O51" s="9"/>
      <c r="P51" s="9"/>
      <c r="Q51" s="179"/>
    </row>
    <row r="52" spans="1:17" x14ac:dyDescent="0.2">
      <c r="A52" s="178"/>
      <c r="B52" s="9"/>
      <c r="C52" s="9"/>
      <c r="D52" s="9"/>
      <c r="E52" s="9"/>
      <c r="F52" s="9"/>
      <c r="G52" s="9"/>
      <c r="H52" s="9"/>
      <c r="I52" s="9"/>
      <c r="J52" s="9"/>
      <c r="K52" s="9"/>
      <c r="L52" s="9"/>
      <c r="M52" s="9"/>
      <c r="N52" s="9"/>
      <c r="O52" s="9"/>
      <c r="P52" s="9"/>
      <c r="Q52" s="179"/>
    </row>
    <row r="53" spans="1:17" x14ac:dyDescent="0.2">
      <c r="A53" s="178"/>
      <c r="B53" s="9"/>
      <c r="C53" s="9"/>
      <c r="D53" s="9"/>
      <c r="E53" s="9"/>
      <c r="F53" s="9"/>
      <c r="G53" s="9"/>
      <c r="H53" s="9"/>
      <c r="I53" s="9"/>
      <c r="J53" s="9"/>
      <c r="K53" s="9"/>
      <c r="L53" s="9"/>
      <c r="M53" s="9"/>
      <c r="N53" s="9"/>
      <c r="O53" s="9"/>
      <c r="P53" s="9"/>
      <c r="Q53" s="179"/>
    </row>
    <row r="54" spans="1:17" x14ac:dyDescent="0.2">
      <c r="A54" s="178"/>
      <c r="B54" s="9"/>
      <c r="C54" s="9"/>
      <c r="D54" s="9"/>
      <c r="E54" s="9"/>
      <c r="F54" s="9"/>
      <c r="G54" s="9"/>
      <c r="H54" s="9"/>
      <c r="I54" s="9"/>
      <c r="J54" s="9"/>
      <c r="K54" s="9"/>
      <c r="L54" s="9"/>
      <c r="M54" s="9"/>
      <c r="N54" s="9"/>
      <c r="O54" s="9"/>
      <c r="P54" s="9"/>
      <c r="Q54" s="179"/>
    </row>
    <row r="55" spans="1:17" x14ac:dyDescent="0.2">
      <c r="A55" s="178"/>
      <c r="B55" s="9"/>
      <c r="C55" s="9"/>
      <c r="D55" s="9"/>
      <c r="E55" s="9"/>
      <c r="F55" s="9"/>
      <c r="G55" s="9"/>
      <c r="H55" s="9"/>
      <c r="I55" s="9"/>
      <c r="J55" s="9"/>
      <c r="K55" s="9"/>
      <c r="L55" s="9"/>
      <c r="M55" s="9"/>
      <c r="N55" s="9"/>
      <c r="O55" s="9"/>
      <c r="P55" s="9"/>
      <c r="Q55" s="179"/>
    </row>
    <row r="56" spans="1:17" x14ac:dyDescent="0.2">
      <c r="A56" s="178"/>
      <c r="B56" s="9"/>
      <c r="C56" s="9"/>
      <c r="D56" s="9"/>
      <c r="E56" s="9"/>
      <c r="F56" s="9"/>
      <c r="G56" s="9"/>
      <c r="H56" s="9"/>
      <c r="I56" s="9"/>
      <c r="J56" s="9"/>
      <c r="K56" s="9"/>
      <c r="L56" s="9"/>
      <c r="M56" s="9"/>
      <c r="N56" s="9"/>
      <c r="O56" s="9"/>
      <c r="P56" s="9"/>
      <c r="Q56" s="179"/>
    </row>
    <row r="57" spans="1:17" x14ac:dyDescent="0.2">
      <c r="A57" s="178"/>
      <c r="B57" s="9"/>
      <c r="C57" s="9"/>
      <c r="D57" s="9"/>
      <c r="E57" s="9"/>
      <c r="F57" s="9"/>
      <c r="G57" s="9"/>
      <c r="H57" s="9"/>
      <c r="I57" s="9"/>
      <c r="J57" s="9"/>
      <c r="K57" s="9"/>
      <c r="L57" s="9"/>
      <c r="M57" s="9"/>
      <c r="N57" s="9"/>
      <c r="O57" s="9"/>
      <c r="P57" s="9"/>
      <c r="Q57" s="179"/>
    </row>
    <row r="58" spans="1:17" x14ac:dyDescent="0.2">
      <c r="A58" s="178"/>
      <c r="B58" s="9"/>
      <c r="C58" s="9"/>
      <c r="D58" s="9"/>
      <c r="E58" s="9"/>
      <c r="F58" s="9"/>
      <c r="G58" s="9"/>
      <c r="H58" s="9"/>
      <c r="I58" s="9"/>
      <c r="J58" s="9"/>
      <c r="K58" s="9"/>
      <c r="L58" s="9"/>
      <c r="M58" s="9"/>
      <c r="N58" s="9"/>
      <c r="O58" s="9"/>
      <c r="P58" s="9"/>
      <c r="Q58" s="179"/>
    </row>
    <row r="59" spans="1:17" x14ac:dyDescent="0.2">
      <c r="A59" s="178"/>
      <c r="B59" s="9"/>
      <c r="C59" s="9"/>
      <c r="D59" s="9"/>
      <c r="E59" s="9"/>
      <c r="F59" s="9"/>
      <c r="G59" s="9"/>
      <c r="H59" s="9"/>
      <c r="I59" s="9"/>
      <c r="J59" s="9"/>
      <c r="K59" s="9"/>
      <c r="L59" s="9"/>
      <c r="M59" s="9"/>
      <c r="N59" s="9"/>
      <c r="O59" s="9"/>
      <c r="P59" s="9"/>
      <c r="Q59" s="179"/>
    </row>
    <row r="60" spans="1:17" x14ac:dyDescent="0.2">
      <c r="A60" s="178"/>
      <c r="B60" s="9"/>
      <c r="C60" s="9"/>
      <c r="D60" s="9"/>
      <c r="E60" s="9"/>
      <c r="F60" s="9"/>
      <c r="G60" s="9"/>
      <c r="H60" s="9"/>
      <c r="I60" s="9"/>
      <c r="J60" s="9"/>
      <c r="K60" s="9"/>
      <c r="L60" s="9"/>
      <c r="M60" s="9"/>
      <c r="N60" s="9"/>
      <c r="O60" s="9"/>
      <c r="P60" s="9"/>
      <c r="Q60" s="179"/>
    </row>
    <row r="61" spans="1:17" x14ac:dyDescent="0.2">
      <c r="A61" s="178"/>
      <c r="B61" s="9"/>
      <c r="C61" s="9"/>
      <c r="D61" s="9"/>
      <c r="E61" s="9"/>
      <c r="F61" s="9"/>
      <c r="G61" s="9"/>
      <c r="H61" s="9"/>
      <c r="I61" s="9"/>
      <c r="J61" s="9"/>
      <c r="K61" s="9"/>
      <c r="L61" s="9"/>
      <c r="M61" s="9"/>
      <c r="N61" s="9"/>
      <c r="O61" s="9"/>
      <c r="P61" s="9"/>
      <c r="Q61" s="179"/>
    </row>
    <row r="62" spans="1:17" x14ac:dyDescent="0.2">
      <c r="A62" s="178"/>
      <c r="B62" s="9"/>
      <c r="C62" s="9"/>
      <c r="D62" s="9"/>
      <c r="E62" s="9"/>
      <c r="F62" s="9"/>
      <c r="G62" s="9"/>
      <c r="H62" s="9"/>
      <c r="I62" s="9"/>
      <c r="J62" s="9"/>
      <c r="K62" s="9"/>
      <c r="L62" s="9"/>
      <c r="M62" s="9"/>
      <c r="N62" s="9"/>
      <c r="O62" s="9"/>
      <c r="P62" s="9"/>
      <c r="Q62" s="179"/>
    </row>
    <row r="63" spans="1:17" x14ac:dyDescent="0.2">
      <c r="A63" s="178"/>
      <c r="B63" s="9"/>
      <c r="C63" s="9"/>
      <c r="D63" s="9"/>
      <c r="E63" s="9"/>
      <c r="F63" s="9"/>
      <c r="G63" s="9"/>
      <c r="H63" s="9"/>
      <c r="I63" s="9"/>
      <c r="J63" s="9"/>
      <c r="K63" s="9"/>
      <c r="L63" s="9"/>
      <c r="M63" s="9"/>
      <c r="N63" s="9"/>
      <c r="O63" s="9"/>
      <c r="P63" s="9"/>
      <c r="Q63" s="179"/>
    </row>
    <row r="64" spans="1:17" x14ac:dyDescent="0.2">
      <c r="A64" s="178"/>
      <c r="B64" s="9"/>
      <c r="C64" s="9"/>
      <c r="D64" s="9"/>
      <c r="E64" s="9"/>
      <c r="F64" s="9"/>
      <c r="G64" s="9"/>
      <c r="H64" s="9"/>
      <c r="I64" s="9"/>
      <c r="J64" s="9"/>
      <c r="K64" s="9"/>
      <c r="L64" s="9"/>
      <c r="M64" s="9"/>
      <c r="N64" s="9"/>
      <c r="O64" s="9"/>
      <c r="P64" s="9"/>
      <c r="Q64" s="179"/>
    </row>
    <row r="65" spans="1:17" x14ac:dyDescent="0.2">
      <c r="A65" s="178"/>
      <c r="B65" s="9"/>
      <c r="C65" s="9"/>
      <c r="D65" s="9"/>
      <c r="E65" s="9"/>
      <c r="F65" s="9"/>
      <c r="G65" s="9"/>
      <c r="H65" s="9"/>
      <c r="I65" s="9"/>
      <c r="J65" s="9"/>
      <c r="K65" s="9"/>
      <c r="L65" s="9"/>
      <c r="M65" s="9"/>
      <c r="N65" s="9"/>
      <c r="O65" s="9"/>
      <c r="P65" s="9"/>
      <c r="Q65" s="179"/>
    </row>
    <row r="66" spans="1:17" x14ac:dyDescent="0.2">
      <c r="A66" s="178"/>
      <c r="B66" s="9"/>
      <c r="C66" s="9"/>
      <c r="D66" s="9"/>
      <c r="E66" s="9"/>
      <c r="F66" s="9"/>
      <c r="G66" s="9"/>
      <c r="H66" s="9"/>
      <c r="I66" s="9"/>
      <c r="J66" s="9"/>
      <c r="K66" s="9"/>
      <c r="L66" s="9"/>
      <c r="M66" s="9"/>
      <c r="N66" s="9"/>
      <c r="O66" s="9"/>
      <c r="P66" s="9"/>
      <c r="Q66" s="179"/>
    </row>
    <row r="67" spans="1:17" x14ac:dyDescent="0.2">
      <c r="A67" s="178"/>
      <c r="B67" s="9"/>
      <c r="C67" s="9"/>
      <c r="D67" s="9"/>
      <c r="E67" s="9"/>
      <c r="F67" s="9"/>
      <c r="G67" s="9"/>
      <c r="H67" s="9"/>
      <c r="I67" s="9"/>
      <c r="J67" s="9"/>
      <c r="K67" s="9"/>
      <c r="L67" s="9"/>
      <c r="M67" s="9"/>
      <c r="N67" s="9"/>
      <c r="O67" s="9"/>
      <c r="P67" s="9"/>
      <c r="Q67" s="179"/>
    </row>
    <row r="68" spans="1:17" x14ac:dyDescent="0.2">
      <c r="A68" s="178"/>
      <c r="B68" s="9"/>
      <c r="C68" s="9"/>
      <c r="D68" s="9"/>
      <c r="E68" s="9"/>
      <c r="F68" s="9"/>
      <c r="G68" s="9"/>
      <c r="H68" s="9"/>
      <c r="I68" s="9"/>
      <c r="J68" s="9"/>
      <c r="K68" s="9"/>
      <c r="L68" s="9"/>
      <c r="M68" s="9"/>
      <c r="N68" s="9"/>
      <c r="O68" s="9"/>
      <c r="P68" s="9"/>
      <c r="Q68" s="179"/>
    </row>
    <row r="69" spans="1:17" x14ac:dyDescent="0.2">
      <c r="A69" s="178"/>
      <c r="B69" s="9"/>
      <c r="C69" s="9"/>
      <c r="D69" s="9"/>
      <c r="E69" s="9"/>
      <c r="F69" s="9"/>
      <c r="G69" s="9"/>
      <c r="H69" s="9"/>
      <c r="I69" s="9"/>
      <c r="J69" s="9"/>
      <c r="K69" s="9"/>
      <c r="L69" s="9"/>
      <c r="M69" s="9"/>
      <c r="N69" s="9"/>
      <c r="O69" s="9"/>
      <c r="P69" s="9"/>
      <c r="Q69" s="179"/>
    </row>
    <row r="70" spans="1:17" x14ac:dyDescent="0.2">
      <c r="A70" s="178"/>
      <c r="B70" s="9"/>
      <c r="C70" s="9"/>
      <c r="D70" s="9"/>
      <c r="E70" s="9"/>
      <c r="F70" s="9"/>
      <c r="G70" s="9"/>
      <c r="H70" s="9"/>
      <c r="I70" s="9"/>
      <c r="J70" s="9"/>
      <c r="K70" s="9"/>
      <c r="L70" s="9"/>
      <c r="M70" s="9"/>
      <c r="N70" s="9"/>
      <c r="O70" s="9"/>
      <c r="P70" s="9"/>
      <c r="Q70" s="179"/>
    </row>
    <row r="71" spans="1:17" x14ac:dyDescent="0.2">
      <c r="A71" s="178"/>
      <c r="B71" s="9"/>
      <c r="C71" s="9"/>
      <c r="D71" s="9"/>
      <c r="E71" s="9"/>
      <c r="F71" s="9"/>
      <c r="G71" s="9"/>
      <c r="H71" s="9"/>
      <c r="I71" s="9"/>
      <c r="J71" s="9"/>
      <c r="K71" s="9"/>
      <c r="L71" s="9"/>
      <c r="M71" s="9"/>
      <c r="N71" s="9"/>
      <c r="O71" s="9"/>
      <c r="P71" s="9"/>
      <c r="Q71" s="179"/>
    </row>
    <row r="72" spans="1:17" x14ac:dyDescent="0.2">
      <c r="A72" s="178"/>
      <c r="B72" s="9"/>
      <c r="C72" s="9"/>
      <c r="D72" s="9"/>
      <c r="E72" s="9"/>
      <c r="F72" s="9"/>
      <c r="G72" s="9"/>
      <c r="H72" s="9"/>
      <c r="I72" s="9"/>
      <c r="J72" s="9"/>
      <c r="K72" s="9"/>
      <c r="L72" s="9"/>
      <c r="M72" s="9"/>
      <c r="N72" s="9"/>
      <c r="O72" s="9"/>
      <c r="P72" s="9"/>
      <c r="Q72" s="179"/>
    </row>
    <row r="73" spans="1:17" x14ac:dyDescent="0.2">
      <c r="A73" s="178"/>
      <c r="B73" s="9"/>
      <c r="C73" s="9"/>
      <c r="D73" s="9"/>
      <c r="E73" s="9"/>
      <c r="F73" s="9"/>
      <c r="G73" s="9"/>
      <c r="H73" s="9"/>
      <c r="I73" s="9"/>
      <c r="J73" s="9"/>
      <c r="K73" s="9"/>
      <c r="L73" s="9"/>
      <c r="M73" s="9"/>
      <c r="N73" s="9"/>
      <c r="O73" s="9"/>
      <c r="P73" s="9"/>
      <c r="Q73" s="179"/>
    </row>
    <row r="74" spans="1:17" x14ac:dyDescent="0.2">
      <c r="A74" s="178"/>
      <c r="B74" s="9"/>
      <c r="C74" s="9"/>
      <c r="D74" s="9"/>
      <c r="E74" s="9"/>
      <c r="F74" s="9"/>
      <c r="G74" s="9"/>
      <c r="H74" s="9"/>
      <c r="I74" s="9"/>
      <c r="J74" s="9"/>
      <c r="K74" s="9"/>
      <c r="L74" s="9"/>
      <c r="M74" s="9"/>
      <c r="N74" s="9"/>
      <c r="O74" s="9"/>
      <c r="P74" s="9"/>
      <c r="Q74" s="179"/>
    </row>
    <row r="75" spans="1:17" x14ac:dyDescent="0.2">
      <c r="A75" s="178"/>
      <c r="B75" s="9"/>
      <c r="C75" s="9"/>
      <c r="D75" s="9"/>
      <c r="E75" s="9"/>
      <c r="F75" s="9"/>
      <c r="G75" s="9"/>
      <c r="H75" s="9"/>
      <c r="I75" s="9"/>
      <c r="J75" s="9"/>
      <c r="K75" s="9"/>
      <c r="L75" s="9"/>
      <c r="M75" s="9"/>
      <c r="N75" s="9"/>
      <c r="O75" s="9"/>
      <c r="P75" s="9"/>
      <c r="Q75" s="179"/>
    </row>
    <row r="76" spans="1:17" x14ac:dyDescent="0.2">
      <c r="A76" s="178"/>
      <c r="B76" s="9"/>
      <c r="C76" s="9"/>
      <c r="D76" s="9"/>
      <c r="E76" s="9"/>
      <c r="F76" s="9"/>
      <c r="G76" s="9"/>
      <c r="H76" s="9"/>
      <c r="I76" s="9"/>
      <c r="J76" s="9"/>
      <c r="K76" s="9"/>
      <c r="L76" s="9"/>
      <c r="M76" s="9"/>
      <c r="N76" s="9"/>
      <c r="O76" s="9"/>
      <c r="P76" s="9"/>
      <c r="Q76" s="179"/>
    </row>
    <row r="77" spans="1:17" x14ac:dyDescent="0.2">
      <c r="A77" s="178"/>
      <c r="B77" s="9"/>
      <c r="C77" s="9"/>
      <c r="D77" s="9"/>
      <c r="E77" s="9"/>
      <c r="F77" s="9"/>
      <c r="G77" s="9"/>
      <c r="H77" s="9"/>
      <c r="I77" s="9"/>
      <c r="J77" s="9"/>
      <c r="K77" s="9"/>
      <c r="L77" s="9"/>
      <c r="M77" s="9"/>
      <c r="N77" s="9"/>
      <c r="O77" s="9"/>
      <c r="P77" s="9"/>
      <c r="Q77" s="179"/>
    </row>
    <row r="78" spans="1:17" x14ac:dyDescent="0.2">
      <c r="A78" s="178"/>
      <c r="B78" s="9"/>
      <c r="C78" s="9"/>
      <c r="D78" s="9"/>
      <c r="E78" s="9"/>
      <c r="F78" s="9"/>
      <c r="G78" s="9"/>
      <c r="H78" s="9"/>
      <c r="I78" s="9"/>
      <c r="J78" s="9"/>
      <c r="K78" s="9"/>
      <c r="L78" s="9"/>
      <c r="M78" s="9"/>
      <c r="N78" s="9"/>
      <c r="O78" s="9"/>
      <c r="P78" s="9"/>
      <c r="Q78" s="179"/>
    </row>
    <row r="79" spans="1:17" x14ac:dyDescent="0.2">
      <c r="A79" s="178"/>
      <c r="B79" s="9"/>
      <c r="C79" s="9"/>
      <c r="D79" s="9"/>
      <c r="E79" s="9"/>
      <c r="F79" s="9"/>
      <c r="G79" s="9"/>
      <c r="H79" s="9"/>
      <c r="I79" s="9"/>
      <c r="J79" s="9"/>
      <c r="K79" s="9"/>
      <c r="L79" s="9"/>
      <c r="M79" s="9"/>
      <c r="N79" s="9"/>
      <c r="O79" s="9"/>
      <c r="P79" s="9"/>
      <c r="Q79" s="179"/>
    </row>
    <row r="80" spans="1:17" x14ac:dyDescent="0.2">
      <c r="A80" s="178"/>
      <c r="B80" s="9"/>
      <c r="C80" s="9"/>
      <c r="D80" s="9"/>
      <c r="E80" s="9"/>
      <c r="F80" s="9"/>
      <c r="G80" s="9"/>
      <c r="H80" s="9"/>
      <c r="I80" s="9"/>
      <c r="J80" s="9"/>
      <c r="K80" s="9"/>
      <c r="L80" s="9"/>
      <c r="M80" s="9"/>
      <c r="N80" s="9"/>
      <c r="O80" s="9"/>
      <c r="P80" s="9"/>
      <c r="Q80" s="179"/>
    </row>
    <row r="81" spans="1:17" x14ac:dyDescent="0.2">
      <c r="A81" s="178"/>
      <c r="B81" s="9"/>
      <c r="C81" s="9"/>
      <c r="D81" s="9"/>
      <c r="E81" s="9"/>
      <c r="F81" s="9"/>
      <c r="G81" s="9"/>
      <c r="H81" s="9"/>
      <c r="I81" s="9"/>
      <c r="J81" s="9"/>
      <c r="K81" s="9"/>
      <c r="L81" s="9"/>
      <c r="M81" s="9"/>
      <c r="N81" s="9"/>
      <c r="O81" s="9"/>
      <c r="P81" s="9"/>
      <c r="Q81" s="179"/>
    </row>
    <row r="82" spans="1:17" x14ac:dyDescent="0.2">
      <c r="A82" s="178"/>
      <c r="B82" s="9"/>
      <c r="C82" s="9"/>
      <c r="D82" s="9"/>
      <c r="E82" s="9"/>
      <c r="F82" s="9"/>
      <c r="G82" s="9"/>
      <c r="H82" s="9"/>
      <c r="I82" s="9"/>
      <c r="J82" s="9"/>
      <c r="K82" s="9"/>
      <c r="L82" s="9"/>
      <c r="M82" s="9"/>
      <c r="N82" s="9"/>
      <c r="O82" s="9"/>
      <c r="P82" s="9"/>
      <c r="Q82" s="179"/>
    </row>
    <row r="83" spans="1:17" x14ac:dyDescent="0.2">
      <c r="A83" s="178"/>
      <c r="B83" s="9"/>
      <c r="C83" s="9"/>
      <c r="D83" s="9"/>
      <c r="E83" s="9"/>
      <c r="F83" s="9"/>
      <c r="G83" s="9"/>
      <c r="H83" s="9"/>
      <c r="I83" s="9"/>
      <c r="J83" s="9"/>
      <c r="K83" s="9"/>
      <c r="L83" s="9"/>
      <c r="M83" s="9"/>
      <c r="N83" s="9"/>
      <c r="O83" s="9"/>
      <c r="P83" s="9"/>
      <c r="Q83" s="179"/>
    </row>
    <row r="84" spans="1:17" x14ac:dyDescent="0.2">
      <c r="A84" s="178"/>
      <c r="B84" s="9"/>
      <c r="C84" s="9"/>
      <c r="D84" s="9"/>
      <c r="E84" s="9"/>
      <c r="F84" s="9"/>
      <c r="G84" s="9"/>
      <c r="H84" s="9"/>
      <c r="I84" s="9"/>
      <c r="J84" s="9"/>
      <c r="K84" s="9"/>
      <c r="L84" s="9"/>
      <c r="M84" s="9"/>
      <c r="N84" s="9"/>
      <c r="O84" s="9"/>
      <c r="P84" s="9"/>
      <c r="Q84" s="179"/>
    </row>
    <row r="85" spans="1:17" x14ac:dyDescent="0.2">
      <c r="A85" s="178"/>
      <c r="B85" s="9"/>
      <c r="C85" s="9"/>
      <c r="D85" s="9"/>
      <c r="E85" s="9"/>
      <c r="F85" s="9"/>
      <c r="G85" s="9"/>
      <c r="H85" s="9"/>
      <c r="I85" s="9"/>
      <c r="J85" s="9"/>
      <c r="K85" s="9"/>
      <c r="L85" s="9"/>
      <c r="M85" s="9"/>
      <c r="N85" s="9"/>
      <c r="O85" s="9"/>
      <c r="P85" s="9"/>
      <c r="Q85" s="179"/>
    </row>
    <row r="86" spans="1:17" x14ac:dyDescent="0.2">
      <c r="A86" s="178"/>
      <c r="B86" s="9"/>
      <c r="C86" s="9"/>
      <c r="D86" s="9"/>
      <c r="E86" s="9"/>
      <c r="F86" s="9"/>
      <c r="G86" s="9"/>
      <c r="H86" s="9"/>
      <c r="I86" s="9"/>
      <c r="J86" s="9"/>
      <c r="K86" s="9"/>
      <c r="L86" s="9"/>
      <c r="M86" s="9"/>
      <c r="N86" s="9"/>
      <c r="O86" s="9"/>
      <c r="P86" s="9"/>
      <c r="Q86" s="179"/>
    </row>
    <row r="87" spans="1:17" x14ac:dyDescent="0.2">
      <c r="A87" s="178"/>
      <c r="B87" s="9"/>
      <c r="C87" s="9"/>
      <c r="D87" s="9"/>
      <c r="E87" s="9"/>
      <c r="F87" s="9"/>
      <c r="G87" s="9"/>
      <c r="H87" s="9"/>
      <c r="I87" s="9"/>
      <c r="J87" s="9"/>
      <c r="K87" s="9"/>
      <c r="L87" s="9"/>
      <c r="M87" s="9"/>
      <c r="N87" s="9"/>
      <c r="O87" s="9"/>
      <c r="P87" s="9"/>
      <c r="Q87" s="179"/>
    </row>
    <row r="88" spans="1:17" x14ac:dyDescent="0.2">
      <c r="A88" s="178"/>
      <c r="B88" s="9"/>
      <c r="C88" s="9"/>
      <c r="D88" s="9"/>
      <c r="E88" s="9"/>
      <c r="F88" s="9"/>
      <c r="G88" s="9"/>
      <c r="H88" s="9"/>
      <c r="I88" s="9"/>
      <c r="J88" s="9"/>
      <c r="K88" s="9"/>
      <c r="L88" s="9"/>
      <c r="M88" s="9"/>
      <c r="N88" s="9"/>
      <c r="O88" s="9"/>
      <c r="P88" s="9"/>
      <c r="Q88" s="179"/>
    </row>
    <row r="89" spans="1:17" x14ac:dyDescent="0.2">
      <c r="A89" s="178"/>
      <c r="B89" s="9"/>
      <c r="C89" s="9"/>
      <c r="D89" s="9"/>
      <c r="E89" s="9"/>
      <c r="F89" s="9"/>
      <c r="G89" s="9"/>
      <c r="H89" s="9"/>
      <c r="I89" s="9"/>
      <c r="J89" s="9"/>
      <c r="K89" s="9"/>
      <c r="L89" s="9"/>
      <c r="M89" s="9"/>
      <c r="N89" s="9"/>
      <c r="O89" s="9"/>
      <c r="P89" s="9"/>
      <c r="Q89" s="179"/>
    </row>
    <row r="90" spans="1:17" x14ac:dyDescent="0.2">
      <c r="A90" s="178"/>
      <c r="B90" s="9"/>
      <c r="C90" s="9"/>
      <c r="D90" s="9"/>
      <c r="E90" s="9"/>
      <c r="F90" s="9"/>
      <c r="G90" s="9"/>
      <c r="H90" s="9"/>
      <c r="I90" s="9"/>
      <c r="J90" s="9"/>
      <c r="K90" s="9"/>
      <c r="L90" s="9"/>
      <c r="M90" s="9"/>
      <c r="N90" s="9"/>
      <c r="O90" s="9"/>
      <c r="P90" s="9"/>
      <c r="Q90" s="179"/>
    </row>
    <row r="91" spans="1:17" x14ac:dyDescent="0.2">
      <c r="A91" s="178"/>
      <c r="B91" s="9"/>
      <c r="C91" s="9"/>
      <c r="D91" s="9"/>
      <c r="E91" s="9"/>
      <c r="F91" s="9"/>
      <c r="G91" s="9"/>
      <c r="H91" s="9"/>
      <c r="I91" s="9"/>
      <c r="J91" s="9"/>
      <c r="K91" s="9"/>
      <c r="L91" s="9"/>
      <c r="M91" s="9"/>
      <c r="N91" s="9"/>
      <c r="O91" s="9"/>
      <c r="P91" s="9"/>
      <c r="Q91" s="179"/>
    </row>
    <row r="92" spans="1:17" x14ac:dyDescent="0.2">
      <c r="A92" s="178"/>
      <c r="B92" s="9"/>
      <c r="C92" s="9"/>
      <c r="D92" s="9"/>
      <c r="E92" s="9"/>
      <c r="F92" s="9"/>
      <c r="G92" s="9"/>
      <c r="H92" s="9"/>
      <c r="I92" s="9"/>
      <c r="J92" s="9"/>
      <c r="K92" s="9"/>
      <c r="L92" s="9"/>
      <c r="M92" s="9"/>
      <c r="N92" s="9"/>
      <c r="O92" s="9"/>
      <c r="P92" s="9"/>
      <c r="Q92" s="179"/>
    </row>
    <row r="93" spans="1:17" x14ac:dyDescent="0.2">
      <c r="A93" s="178"/>
      <c r="B93" s="9"/>
      <c r="C93" s="9"/>
      <c r="D93" s="9"/>
      <c r="E93" s="9"/>
      <c r="F93" s="9"/>
      <c r="G93" s="9"/>
      <c r="H93" s="9"/>
      <c r="I93" s="9"/>
      <c r="J93" s="9"/>
      <c r="K93" s="9"/>
      <c r="L93" s="9"/>
      <c r="M93" s="9"/>
      <c r="N93" s="9"/>
      <c r="O93" s="9"/>
      <c r="P93" s="9"/>
      <c r="Q93" s="179"/>
    </row>
    <row r="94" spans="1:17" x14ac:dyDescent="0.2">
      <c r="A94" s="178"/>
      <c r="B94" s="9"/>
      <c r="C94" s="9"/>
      <c r="D94" s="9"/>
      <c r="E94" s="9"/>
      <c r="F94" s="9"/>
      <c r="G94" s="9"/>
      <c r="H94" s="9"/>
      <c r="I94" s="9"/>
      <c r="J94" s="9"/>
      <c r="K94" s="9"/>
      <c r="L94" s="9"/>
      <c r="M94" s="9"/>
      <c r="N94" s="9"/>
      <c r="O94" s="9"/>
      <c r="P94" s="9"/>
      <c r="Q94" s="179"/>
    </row>
    <row r="95" spans="1:17" x14ac:dyDescent="0.2">
      <c r="A95" s="178"/>
      <c r="B95" s="9"/>
      <c r="C95" s="9"/>
      <c r="D95" s="9"/>
      <c r="E95" s="9"/>
      <c r="F95" s="9"/>
      <c r="G95" s="9"/>
      <c r="H95" s="9"/>
      <c r="I95" s="9"/>
      <c r="J95" s="9"/>
      <c r="K95" s="9"/>
      <c r="L95" s="9"/>
      <c r="M95" s="9"/>
      <c r="N95" s="9"/>
      <c r="O95" s="9"/>
      <c r="P95" s="9"/>
      <c r="Q95" s="179"/>
    </row>
    <row r="96" spans="1:17" x14ac:dyDescent="0.2">
      <c r="A96" s="178"/>
      <c r="B96" s="9"/>
      <c r="C96" s="9"/>
      <c r="D96" s="9"/>
      <c r="E96" s="9"/>
      <c r="F96" s="9"/>
      <c r="G96" s="9"/>
      <c r="H96" s="9"/>
      <c r="I96" s="9"/>
      <c r="J96" s="9"/>
      <c r="K96" s="9"/>
      <c r="L96" s="9"/>
      <c r="M96" s="9"/>
      <c r="N96" s="9"/>
      <c r="O96" s="9"/>
      <c r="P96" s="9"/>
      <c r="Q96" s="179"/>
    </row>
    <row r="97" spans="1:17" x14ac:dyDescent="0.2">
      <c r="A97" s="178"/>
      <c r="B97" s="9"/>
      <c r="C97" s="9"/>
      <c r="D97" s="9"/>
      <c r="E97" s="9"/>
      <c r="F97" s="9"/>
      <c r="G97" s="9"/>
      <c r="H97" s="9"/>
      <c r="I97" s="9"/>
      <c r="J97" s="9"/>
      <c r="K97" s="9"/>
      <c r="L97" s="9"/>
      <c r="M97" s="9"/>
      <c r="N97" s="9"/>
      <c r="O97" s="9"/>
      <c r="P97" s="9"/>
      <c r="Q97" s="179"/>
    </row>
    <row r="98" spans="1:17" x14ac:dyDescent="0.2">
      <c r="A98" s="178"/>
      <c r="B98" s="9"/>
      <c r="C98" s="9"/>
      <c r="D98" s="9"/>
      <c r="E98" s="9"/>
      <c r="F98" s="9"/>
      <c r="G98" s="9"/>
      <c r="H98" s="9"/>
      <c r="I98" s="9"/>
      <c r="J98" s="9"/>
      <c r="K98" s="9"/>
      <c r="L98" s="9"/>
      <c r="M98" s="9"/>
      <c r="N98" s="9"/>
      <c r="O98" s="9"/>
      <c r="P98" s="9"/>
      <c r="Q98" s="179"/>
    </row>
    <row r="99" spans="1:17" x14ac:dyDescent="0.2">
      <c r="A99" s="178"/>
      <c r="B99" s="9"/>
      <c r="C99" s="9"/>
      <c r="D99" s="9"/>
      <c r="E99" s="9"/>
      <c r="F99" s="9"/>
      <c r="G99" s="9"/>
      <c r="H99" s="9"/>
      <c r="I99" s="9"/>
      <c r="J99" s="9"/>
      <c r="K99" s="9"/>
      <c r="L99" s="9"/>
      <c r="M99" s="9"/>
      <c r="N99" s="9"/>
      <c r="O99" s="9"/>
      <c r="P99" s="9"/>
      <c r="Q99" s="179"/>
    </row>
    <row r="100" spans="1:17" x14ac:dyDescent="0.2">
      <c r="A100" s="178"/>
      <c r="B100" s="9"/>
      <c r="C100" s="9"/>
      <c r="D100" s="9"/>
      <c r="E100" s="9"/>
      <c r="F100" s="9"/>
      <c r="G100" s="9"/>
      <c r="H100" s="9"/>
      <c r="I100" s="9"/>
      <c r="J100" s="9"/>
      <c r="K100" s="9"/>
      <c r="L100" s="9"/>
      <c r="M100" s="9"/>
      <c r="N100" s="9"/>
      <c r="O100" s="9"/>
      <c r="P100" s="9"/>
      <c r="Q100" s="179"/>
    </row>
    <row r="101" spans="1:17" x14ac:dyDescent="0.2">
      <c r="A101" s="178"/>
      <c r="B101" s="9"/>
      <c r="C101" s="9"/>
      <c r="D101" s="9"/>
      <c r="E101" s="9"/>
      <c r="F101" s="9"/>
      <c r="G101" s="9"/>
      <c r="H101" s="9"/>
      <c r="I101" s="9"/>
      <c r="J101" s="9"/>
      <c r="K101" s="9"/>
      <c r="L101" s="9"/>
      <c r="M101" s="9"/>
      <c r="N101" s="9"/>
      <c r="O101" s="9"/>
      <c r="P101" s="9"/>
      <c r="Q101" s="179"/>
    </row>
    <row r="102" spans="1:17" x14ac:dyDescent="0.2">
      <c r="A102" s="178"/>
      <c r="B102" s="9"/>
      <c r="C102" s="9"/>
      <c r="D102" s="9"/>
      <c r="E102" s="9"/>
      <c r="F102" s="9"/>
      <c r="G102" s="9"/>
      <c r="H102" s="9"/>
      <c r="I102" s="9"/>
      <c r="J102" s="9"/>
      <c r="K102" s="9"/>
      <c r="L102" s="9"/>
      <c r="M102" s="9"/>
      <c r="N102" s="9"/>
      <c r="O102" s="9"/>
      <c r="P102" s="9"/>
      <c r="Q102" s="179"/>
    </row>
    <row r="103" spans="1:17" x14ac:dyDescent="0.2">
      <c r="A103" s="178"/>
      <c r="B103" s="9"/>
      <c r="C103" s="9"/>
      <c r="D103" s="9"/>
      <c r="E103" s="9"/>
      <c r="F103" s="9"/>
      <c r="G103" s="9"/>
      <c r="H103" s="9"/>
      <c r="I103" s="9"/>
      <c r="J103" s="9"/>
      <c r="K103" s="9"/>
      <c r="L103" s="9"/>
      <c r="M103" s="9"/>
      <c r="N103" s="9"/>
      <c r="O103" s="9"/>
      <c r="P103" s="9"/>
      <c r="Q103" s="179"/>
    </row>
    <row r="104" spans="1:17" x14ac:dyDescent="0.2">
      <c r="A104" s="178"/>
      <c r="B104" s="9"/>
      <c r="C104" s="9"/>
      <c r="D104" s="9"/>
      <c r="E104" s="9"/>
      <c r="F104" s="9"/>
      <c r="G104" s="9"/>
      <c r="H104" s="9"/>
      <c r="I104" s="9"/>
      <c r="J104" s="9"/>
      <c r="K104" s="9"/>
      <c r="L104" s="9"/>
      <c r="M104" s="9"/>
      <c r="N104" s="9"/>
      <c r="O104" s="9"/>
      <c r="P104" s="9"/>
      <c r="Q104" s="179"/>
    </row>
    <row r="105" spans="1:17" x14ac:dyDescent="0.2">
      <c r="A105" s="178"/>
      <c r="B105" s="9"/>
      <c r="C105" s="9"/>
      <c r="D105" s="9"/>
      <c r="E105" s="9"/>
      <c r="F105" s="9"/>
      <c r="G105" s="9"/>
      <c r="H105" s="9"/>
      <c r="I105" s="9"/>
      <c r="J105" s="9"/>
      <c r="K105" s="9"/>
      <c r="L105" s="9"/>
      <c r="M105" s="9"/>
      <c r="N105" s="9"/>
      <c r="O105" s="9"/>
      <c r="P105" s="9"/>
      <c r="Q105" s="179"/>
    </row>
    <row r="106" spans="1:17" x14ac:dyDescent="0.2">
      <c r="A106" s="178"/>
      <c r="B106" s="9"/>
      <c r="C106" s="9"/>
      <c r="D106" s="9"/>
      <c r="E106" s="9"/>
      <c r="F106" s="9"/>
      <c r="G106" s="9"/>
      <c r="H106" s="9"/>
      <c r="I106" s="9"/>
      <c r="J106" s="9"/>
      <c r="K106" s="9"/>
      <c r="L106" s="9"/>
      <c r="M106" s="9"/>
      <c r="N106" s="9"/>
      <c r="O106" s="9"/>
      <c r="P106" s="9"/>
      <c r="Q106" s="179"/>
    </row>
    <row r="107" spans="1:17" x14ac:dyDescent="0.2">
      <c r="A107" s="178"/>
      <c r="B107" s="9"/>
      <c r="C107" s="9"/>
      <c r="D107" s="9"/>
      <c r="E107" s="9"/>
      <c r="F107" s="9"/>
      <c r="G107" s="9"/>
      <c r="H107" s="9"/>
      <c r="I107" s="9"/>
      <c r="J107" s="9"/>
      <c r="K107" s="9"/>
      <c r="L107" s="9"/>
      <c r="M107" s="9"/>
      <c r="N107" s="9"/>
      <c r="O107" s="9"/>
      <c r="P107" s="9"/>
      <c r="Q107" s="179"/>
    </row>
    <row r="108" spans="1:17" x14ac:dyDescent="0.2">
      <c r="A108" s="178"/>
      <c r="B108" s="9"/>
      <c r="C108" s="9"/>
      <c r="D108" s="9"/>
      <c r="E108" s="9"/>
      <c r="F108" s="9"/>
      <c r="G108" s="9"/>
      <c r="H108" s="9"/>
      <c r="I108" s="9"/>
      <c r="J108" s="9"/>
      <c r="K108" s="9"/>
      <c r="L108" s="9"/>
      <c r="M108" s="9"/>
      <c r="N108" s="9"/>
      <c r="O108" s="9"/>
      <c r="P108" s="9"/>
      <c r="Q108" s="179"/>
    </row>
    <row r="109" spans="1:17" x14ac:dyDescent="0.2">
      <c r="A109" s="178"/>
      <c r="B109" s="9"/>
      <c r="C109" s="9"/>
      <c r="D109" s="9"/>
      <c r="E109" s="9"/>
      <c r="F109" s="9"/>
      <c r="G109" s="9"/>
      <c r="H109" s="9"/>
      <c r="I109" s="9"/>
      <c r="J109" s="9"/>
      <c r="K109" s="9"/>
      <c r="L109" s="9"/>
      <c r="M109" s="9"/>
      <c r="N109" s="9"/>
      <c r="O109" s="9"/>
      <c r="P109" s="9"/>
      <c r="Q109" s="179"/>
    </row>
    <row r="110" spans="1:17" x14ac:dyDescent="0.2">
      <c r="A110" s="178"/>
      <c r="B110" s="9"/>
      <c r="C110" s="9"/>
      <c r="D110" s="9"/>
      <c r="E110" s="9"/>
      <c r="F110" s="9"/>
      <c r="G110" s="9"/>
      <c r="H110" s="9"/>
      <c r="I110" s="9"/>
      <c r="J110" s="9"/>
      <c r="K110" s="9"/>
      <c r="L110" s="9"/>
      <c r="M110" s="9"/>
      <c r="N110" s="9"/>
      <c r="O110" s="9"/>
      <c r="P110" s="9"/>
      <c r="Q110" s="179"/>
    </row>
    <row r="111" spans="1:17" x14ac:dyDescent="0.2">
      <c r="A111" s="178"/>
      <c r="B111" s="9"/>
      <c r="C111" s="9"/>
      <c r="D111" s="9"/>
      <c r="E111" s="9"/>
      <c r="F111" s="9"/>
      <c r="G111" s="9"/>
      <c r="H111" s="9"/>
      <c r="I111" s="9"/>
      <c r="J111" s="9"/>
      <c r="K111" s="9"/>
      <c r="L111" s="9"/>
      <c r="M111" s="9"/>
      <c r="N111" s="9"/>
      <c r="O111" s="9"/>
      <c r="P111" s="9"/>
      <c r="Q111" s="179"/>
    </row>
    <row r="112" spans="1:17" x14ac:dyDescent="0.2">
      <c r="A112" s="178"/>
      <c r="B112" s="9"/>
      <c r="C112" s="9"/>
      <c r="D112" s="9"/>
      <c r="E112" s="9"/>
      <c r="F112" s="9"/>
      <c r="G112" s="9"/>
      <c r="H112" s="9"/>
      <c r="I112" s="9"/>
      <c r="J112" s="9"/>
      <c r="K112" s="9"/>
      <c r="L112" s="9"/>
      <c r="M112" s="9"/>
      <c r="N112" s="9"/>
      <c r="O112" s="9"/>
      <c r="P112" s="9"/>
      <c r="Q112" s="179"/>
    </row>
    <row r="113" spans="1:17" x14ac:dyDescent="0.2">
      <c r="A113" s="178"/>
      <c r="B113" s="9"/>
      <c r="C113" s="9"/>
      <c r="D113" s="9"/>
      <c r="E113" s="9"/>
      <c r="F113" s="9"/>
      <c r="G113" s="9"/>
      <c r="H113" s="9"/>
      <c r="I113" s="9"/>
      <c r="J113" s="9"/>
      <c r="K113" s="9"/>
      <c r="L113" s="9"/>
      <c r="M113" s="9"/>
      <c r="N113" s="9"/>
      <c r="O113" s="9"/>
      <c r="P113" s="9"/>
      <c r="Q113" s="179"/>
    </row>
    <row r="114" spans="1:17" x14ac:dyDescent="0.2">
      <c r="A114" s="178"/>
      <c r="B114" s="9"/>
      <c r="C114" s="9"/>
      <c r="D114" s="9"/>
      <c r="E114" s="9"/>
      <c r="F114" s="9"/>
      <c r="G114" s="9"/>
      <c r="H114" s="9"/>
      <c r="I114" s="9"/>
      <c r="J114" s="9"/>
      <c r="K114" s="9"/>
      <c r="L114" s="9"/>
      <c r="M114" s="9"/>
      <c r="N114" s="9"/>
      <c r="O114" s="9"/>
      <c r="P114" s="9"/>
      <c r="Q114" s="179"/>
    </row>
    <row r="115" spans="1:17" x14ac:dyDescent="0.2">
      <c r="A115" s="178"/>
      <c r="B115" s="9"/>
      <c r="C115" s="9"/>
      <c r="D115" s="9"/>
      <c r="E115" s="9"/>
      <c r="F115" s="9"/>
      <c r="G115" s="9"/>
      <c r="H115" s="9"/>
      <c r="I115" s="9"/>
      <c r="J115" s="9"/>
      <c r="K115" s="9"/>
      <c r="L115" s="9"/>
      <c r="M115" s="9"/>
      <c r="N115" s="9"/>
      <c r="O115" s="9"/>
      <c r="P115" s="9"/>
      <c r="Q115" s="179"/>
    </row>
    <row r="116" spans="1:17" x14ac:dyDescent="0.2">
      <c r="A116" s="178"/>
      <c r="B116" s="9"/>
      <c r="C116" s="9"/>
      <c r="D116" s="9"/>
      <c r="E116" s="9"/>
      <c r="F116" s="9"/>
      <c r="G116" s="9"/>
      <c r="H116" s="9"/>
      <c r="I116" s="9"/>
      <c r="J116" s="9"/>
      <c r="K116" s="9"/>
      <c r="L116" s="9"/>
      <c r="M116" s="9"/>
      <c r="N116" s="9"/>
      <c r="O116" s="9"/>
      <c r="P116" s="9"/>
      <c r="Q116" s="179"/>
    </row>
    <row r="117" spans="1:17" x14ac:dyDescent="0.2">
      <c r="A117" s="178"/>
      <c r="B117" s="9"/>
      <c r="C117" s="9"/>
      <c r="D117" s="9"/>
      <c r="E117" s="9"/>
      <c r="F117" s="9"/>
      <c r="G117" s="9"/>
      <c r="H117" s="9"/>
      <c r="I117" s="9"/>
      <c r="J117" s="9"/>
      <c r="K117" s="9"/>
      <c r="L117" s="9"/>
      <c r="M117" s="9"/>
      <c r="N117" s="9"/>
      <c r="O117" s="9"/>
      <c r="P117" s="9"/>
      <c r="Q117" s="179"/>
    </row>
    <row r="118" spans="1:17" x14ac:dyDescent="0.2">
      <c r="A118" s="178"/>
      <c r="B118" s="9"/>
      <c r="C118" s="9"/>
      <c r="D118" s="9"/>
      <c r="E118" s="9"/>
      <c r="F118" s="9"/>
      <c r="G118" s="9"/>
      <c r="H118" s="9"/>
      <c r="I118" s="9"/>
      <c r="J118" s="9"/>
      <c r="K118" s="9"/>
      <c r="L118" s="9"/>
      <c r="M118" s="9"/>
      <c r="N118" s="9"/>
      <c r="O118" s="9"/>
      <c r="P118" s="9"/>
      <c r="Q118" s="179"/>
    </row>
    <row r="119" spans="1:17" x14ac:dyDescent="0.2">
      <c r="A119" s="178"/>
      <c r="B119" s="9"/>
      <c r="C119" s="9"/>
      <c r="D119" s="9"/>
      <c r="E119" s="9"/>
      <c r="F119" s="9"/>
      <c r="G119" s="9"/>
      <c r="H119" s="9"/>
      <c r="I119" s="9"/>
      <c r="J119" s="9"/>
      <c r="K119" s="9"/>
      <c r="L119" s="9"/>
      <c r="M119" s="9"/>
      <c r="N119" s="9"/>
      <c r="O119" s="9"/>
      <c r="P119" s="9"/>
      <c r="Q119" s="179"/>
    </row>
    <row r="120" spans="1:17" x14ac:dyDescent="0.2">
      <c r="A120" s="178"/>
      <c r="B120" s="9"/>
      <c r="C120" s="9"/>
      <c r="D120" s="9"/>
      <c r="E120" s="9"/>
      <c r="F120" s="9"/>
      <c r="G120" s="9"/>
      <c r="H120" s="9"/>
      <c r="I120" s="9"/>
      <c r="J120" s="9"/>
      <c r="K120" s="9"/>
      <c r="L120" s="9"/>
      <c r="M120" s="9"/>
      <c r="N120" s="9"/>
      <c r="O120" s="9"/>
      <c r="P120" s="9"/>
      <c r="Q120" s="179"/>
    </row>
    <row r="121" spans="1:17" x14ac:dyDescent="0.2">
      <c r="A121" s="178"/>
      <c r="B121" s="9"/>
      <c r="C121" s="9"/>
      <c r="D121" s="9"/>
      <c r="E121" s="9"/>
      <c r="F121" s="9"/>
      <c r="G121" s="9"/>
      <c r="H121" s="9"/>
      <c r="I121" s="9"/>
      <c r="J121" s="9"/>
      <c r="K121" s="9"/>
      <c r="L121" s="9"/>
      <c r="M121" s="9"/>
      <c r="N121" s="9"/>
      <c r="O121" s="9"/>
      <c r="P121" s="9"/>
      <c r="Q121" s="179"/>
    </row>
    <row r="122" spans="1:17" x14ac:dyDescent="0.2">
      <c r="A122" s="178"/>
      <c r="B122" s="9"/>
      <c r="C122" s="9"/>
      <c r="D122" s="9"/>
      <c r="E122" s="9"/>
      <c r="F122" s="9"/>
      <c r="G122" s="9"/>
      <c r="H122" s="9"/>
      <c r="I122" s="9"/>
      <c r="J122" s="9"/>
      <c r="K122" s="9"/>
      <c r="L122" s="9"/>
      <c r="M122" s="9"/>
      <c r="N122" s="9"/>
      <c r="O122" s="9"/>
      <c r="P122" s="9"/>
      <c r="Q122" s="179"/>
    </row>
    <row r="123" spans="1:17" x14ac:dyDescent="0.2">
      <c r="A123" s="178"/>
      <c r="B123" s="9"/>
      <c r="C123" s="9"/>
      <c r="D123" s="9"/>
      <c r="E123" s="9"/>
      <c r="F123" s="9"/>
      <c r="G123" s="9"/>
      <c r="H123" s="9"/>
      <c r="I123" s="9"/>
      <c r="J123" s="9"/>
      <c r="K123" s="9"/>
      <c r="L123" s="9"/>
      <c r="M123" s="9"/>
      <c r="N123" s="9"/>
      <c r="O123" s="9"/>
      <c r="P123" s="9"/>
      <c r="Q123" s="179"/>
    </row>
    <row r="124" spans="1:17" x14ac:dyDescent="0.2">
      <c r="A124" s="178"/>
      <c r="B124" s="9"/>
      <c r="C124" s="9"/>
      <c r="D124" s="9"/>
      <c r="E124" s="9"/>
      <c r="F124" s="9"/>
      <c r="G124" s="9"/>
      <c r="H124" s="9"/>
      <c r="I124" s="9"/>
      <c r="J124" s="9"/>
      <c r="K124" s="9"/>
      <c r="L124" s="9"/>
      <c r="M124" s="9"/>
      <c r="N124" s="9"/>
      <c r="O124" s="9"/>
      <c r="P124" s="9"/>
      <c r="Q124" s="179"/>
    </row>
    <row r="125" spans="1:17" x14ac:dyDescent="0.2">
      <c r="A125" s="178"/>
      <c r="B125" s="9"/>
      <c r="C125" s="9"/>
      <c r="D125" s="9"/>
      <c r="E125" s="9"/>
      <c r="F125" s="9"/>
      <c r="G125" s="9"/>
      <c r="H125" s="9"/>
      <c r="I125" s="9"/>
      <c r="J125" s="9"/>
      <c r="K125" s="9"/>
      <c r="L125" s="9"/>
      <c r="M125" s="9"/>
      <c r="N125" s="9"/>
      <c r="O125" s="9"/>
      <c r="P125" s="9"/>
      <c r="Q125" s="179"/>
    </row>
    <row r="126" spans="1:17" x14ac:dyDescent="0.2">
      <c r="A126" s="178"/>
      <c r="B126" s="9"/>
      <c r="C126" s="9"/>
      <c r="D126" s="9"/>
      <c r="E126" s="9"/>
      <c r="F126" s="9"/>
      <c r="G126" s="9"/>
      <c r="H126" s="9"/>
      <c r="I126" s="9"/>
      <c r="J126" s="9"/>
      <c r="K126" s="9"/>
      <c r="L126" s="9"/>
      <c r="M126" s="9"/>
      <c r="N126" s="9"/>
      <c r="O126" s="9"/>
      <c r="P126" s="9"/>
      <c r="Q126" s="179"/>
    </row>
    <row r="127" spans="1:17" x14ac:dyDescent="0.2">
      <c r="A127" s="178"/>
      <c r="B127" s="9"/>
      <c r="C127" s="9"/>
      <c r="D127" s="9"/>
      <c r="E127" s="9"/>
      <c r="F127" s="9"/>
      <c r="G127" s="9"/>
      <c r="H127" s="9"/>
      <c r="I127" s="9"/>
      <c r="J127" s="9"/>
      <c r="K127" s="9"/>
      <c r="L127" s="9"/>
      <c r="M127" s="9"/>
      <c r="N127" s="9"/>
      <c r="O127" s="9"/>
      <c r="P127" s="9"/>
      <c r="Q127" s="179"/>
    </row>
    <row r="128" spans="1:17" x14ac:dyDescent="0.2">
      <c r="A128" s="178"/>
      <c r="B128" s="9"/>
      <c r="C128" s="9"/>
      <c r="D128" s="9"/>
      <c r="E128" s="9"/>
      <c r="F128" s="9"/>
      <c r="G128" s="9"/>
      <c r="H128" s="9"/>
      <c r="I128" s="9"/>
      <c r="J128" s="9"/>
      <c r="K128" s="9"/>
      <c r="L128" s="9"/>
      <c r="M128" s="9"/>
      <c r="N128" s="9"/>
      <c r="O128" s="9"/>
      <c r="P128" s="9"/>
      <c r="Q128" s="179"/>
    </row>
    <row r="129" spans="1:17" x14ac:dyDescent="0.2">
      <c r="A129" s="178"/>
      <c r="B129" s="9"/>
      <c r="C129" s="9"/>
      <c r="D129" s="9"/>
      <c r="E129" s="9"/>
      <c r="F129" s="9"/>
      <c r="G129" s="9"/>
      <c r="H129" s="9"/>
      <c r="I129" s="9"/>
      <c r="J129" s="9"/>
      <c r="K129" s="9"/>
      <c r="L129" s="9"/>
      <c r="M129" s="9"/>
      <c r="N129" s="9"/>
      <c r="O129" s="9"/>
      <c r="P129" s="9"/>
      <c r="Q129" s="179"/>
    </row>
    <row r="130" spans="1:17" x14ac:dyDescent="0.2">
      <c r="A130" s="178"/>
      <c r="B130" s="9"/>
      <c r="C130" s="9"/>
      <c r="D130" s="9"/>
      <c r="E130" s="9"/>
      <c r="F130" s="9"/>
      <c r="G130" s="9"/>
      <c r="H130" s="9"/>
      <c r="I130" s="9"/>
      <c r="J130" s="9"/>
      <c r="K130" s="9"/>
      <c r="L130" s="9"/>
      <c r="M130" s="9"/>
      <c r="N130" s="9"/>
      <c r="O130" s="9"/>
      <c r="P130" s="9"/>
      <c r="Q130" s="179"/>
    </row>
    <row r="131" spans="1:17" x14ac:dyDescent="0.2">
      <c r="A131" s="178"/>
      <c r="B131" s="9"/>
      <c r="C131" s="9"/>
      <c r="D131" s="9"/>
      <c r="E131" s="9"/>
      <c r="F131" s="9"/>
      <c r="G131" s="9"/>
      <c r="H131" s="9"/>
      <c r="I131" s="9"/>
      <c r="J131" s="9"/>
      <c r="K131" s="9"/>
      <c r="L131" s="9"/>
      <c r="M131" s="9"/>
      <c r="N131" s="9"/>
      <c r="O131" s="9"/>
      <c r="P131" s="9"/>
      <c r="Q131" s="179"/>
    </row>
    <row r="132" spans="1:17" x14ac:dyDescent="0.2">
      <c r="A132" s="178"/>
      <c r="B132" s="9"/>
      <c r="C132" s="9"/>
      <c r="D132" s="9"/>
      <c r="E132" s="9"/>
      <c r="F132" s="9"/>
      <c r="G132" s="9"/>
      <c r="H132" s="9"/>
      <c r="I132" s="9"/>
      <c r="J132" s="9"/>
      <c r="K132" s="9"/>
      <c r="L132" s="9"/>
      <c r="M132" s="9"/>
      <c r="N132" s="9"/>
      <c r="O132" s="9"/>
      <c r="P132" s="9"/>
      <c r="Q132" s="179"/>
    </row>
    <row r="133" spans="1:17" x14ac:dyDescent="0.2">
      <c r="A133" s="178"/>
      <c r="B133" s="9"/>
      <c r="C133" s="9"/>
      <c r="D133" s="9"/>
      <c r="E133" s="9"/>
      <c r="F133" s="9"/>
      <c r="G133" s="9"/>
      <c r="H133" s="9"/>
      <c r="I133" s="9"/>
      <c r="J133" s="9"/>
      <c r="K133" s="9"/>
      <c r="L133" s="9"/>
      <c r="M133" s="9"/>
      <c r="N133" s="9"/>
      <c r="O133" s="9"/>
      <c r="P133" s="9"/>
      <c r="Q133" s="179"/>
    </row>
    <row r="134" spans="1:17" x14ac:dyDescent="0.2">
      <c r="A134" s="178"/>
      <c r="B134" s="9"/>
      <c r="C134" s="9"/>
      <c r="D134" s="9"/>
      <c r="E134" s="9"/>
      <c r="F134" s="9"/>
      <c r="G134" s="9"/>
      <c r="H134" s="9"/>
      <c r="I134" s="9"/>
      <c r="J134" s="9"/>
      <c r="K134" s="9"/>
      <c r="L134" s="9"/>
      <c r="M134" s="9"/>
      <c r="N134" s="9"/>
      <c r="O134" s="9"/>
      <c r="P134" s="9"/>
      <c r="Q134" s="179"/>
    </row>
    <row r="135" spans="1:17" x14ac:dyDescent="0.2">
      <c r="A135" s="178"/>
      <c r="B135" s="9"/>
      <c r="C135" s="9"/>
      <c r="D135" s="9"/>
      <c r="E135" s="9"/>
      <c r="F135" s="9"/>
      <c r="G135" s="9"/>
      <c r="H135" s="9"/>
      <c r="I135" s="9"/>
      <c r="J135" s="9"/>
      <c r="K135" s="9"/>
      <c r="L135" s="9"/>
      <c r="M135" s="9"/>
      <c r="N135" s="9"/>
      <c r="O135" s="9"/>
      <c r="P135" s="9"/>
      <c r="Q135" s="179"/>
    </row>
    <row r="136" spans="1:17" x14ac:dyDescent="0.2">
      <c r="A136" s="178"/>
      <c r="B136" s="9"/>
      <c r="C136" s="9"/>
      <c r="D136" s="9"/>
      <c r="E136" s="9"/>
      <c r="F136" s="9"/>
      <c r="G136" s="9"/>
      <c r="H136" s="9"/>
      <c r="I136" s="9"/>
      <c r="J136" s="9"/>
      <c r="K136" s="9"/>
      <c r="L136" s="9"/>
      <c r="M136" s="9"/>
      <c r="N136" s="9"/>
      <c r="O136" s="9"/>
      <c r="P136" s="9"/>
      <c r="Q136" s="179"/>
    </row>
    <row r="137" spans="1:17" x14ac:dyDescent="0.2">
      <c r="A137" s="178"/>
      <c r="B137" s="9"/>
      <c r="C137" s="9"/>
      <c r="D137" s="9"/>
      <c r="E137" s="9"/>
      <c r="F137" s="9"/>
      <c r="G137" s="9"/>
      <c r="H137" s="9"/>
      <c r="I137" s="9"/>
      <c r="J137" s="9"/>
      <c r="K137" s="9"/>
      <c r="L137" s="9"/>
      <c r="M137" s="9"/>
      <c r="N137" s="9"/>
      <c r="O137" s="9"/>
      <c r="P137" s="9"/>
      <c r="Q137" s="179"/>
    </row>
    <row r="138" spans="1:17" x14ac:dyDescent="0.2">
      <c r="A138" s="178"/>
      <c r="B138" s="9"/>
      <c r="C138" s="9"/>
      <c r="D138" s="9"/>
      <c r="E138" s="9"/>
      <c r="F138" s="9"/>
      <c r="G138" s="9"/>
      <c r="H138" s="9"/>
      <c r="I138" s="9"/>
      <c r="J138" s="9"/>
      <c r="K138" s="9"/>
      <c r="L138" s="9"/>
      <c r="M138" s="9"/>
      <c r="N138" s="9"/>
      <c r="O138" s="9"/>
      <c r="P138" s="9"/>
      <c r="Q138" s="179"/>
    </row>
    <row r="139" spans="1:17" x14ac:dyDescent="0.2">
      <c r="A139" s="178"/>
      <c r="B139" s="9"/>
      <c r="C139" s="9"/>
      <c r="D139" s="9"/>
      <c r="E139" s="9"/>
      <c r="F139" s="9"/>
      <c r="G139" s="9"/>
      <c r="H139" s="9"/>
      <c r="I139" s="9"/>
      <c r="J139" s="9"/>
      <c r="K139" s="9"/>
      <c r="L139" s="9"/>
      <c r="M139" s="9"/>
      <c r="N139" s="9"/>
      <c r="O139" s="9"/>
      <c r="P139" s="9"/>
      <c r="Q139" s="179"/>
    </row>
    <row r="140" spans="1:17" x14ac:dyDescent="0.2">
      <c r="A140" s="178"/>
      <c r="B140" s="9"/>
      <c r="C140" s="9"/>
      <c r="D140" s="9"/>
      <c r="E140" s="9"/>
      <c r="F140" s="9"/>
      <c r="G140" s="9"/>
      <c r="H140" s="9"/>
      <c r="I140" s="9"/>
      <c r="J140" s="9"/>
      <c r="K140" s="9"/>
      <c r="L140" s="9"/>
      <c r="M140" s="9"/>
      <c r="N140" s="9"/>
      <c r="O140" s="9"/>
      <c r="P140" s="9"/>
      <c r="Q140" s="179"/>
    </row>
    <row r="141" spans="1:17" x14ac:dyDescent="0.2">
      <c r="A141" s="178"/>
      <c r="B141" s="9"/>
      <c r="C141" s="9"/>
      <c r="D141" s="9"/>
      <c r="E141" s="9"/>
      <c r="F141" s="9"/>
      <c r="G141" s="9"/>
      <c r="H141" s="9"/>
      <c r="I141" s="9"/>
      <c r="J141" s="9"/>
      <c r="K141" s="9"/>
      <c r="L141" s="9"/>
      <c r="M141" s="9"/>
      <c r="N141" s="9"/>
      <c r="O141" s="9"/>
      <c r="P141" s="9"/>
      <c r="Q141" s="179"/>
    </row>
    <row r="142" spans="1:17" x14ac:dyDescent="0.2">
      <c r="A142" s="178"/>
      <c r="B142" s="9"/>
      <c r="C142" s="9"/>
      <c r="D142" s="9"/>
      <c r="E142" s="9"/>
      <c r="F142" s="9"/>
      <c r="G142" s="9"/>
      <c r="H142" s="9"/>
      <c r="I142" s="9"/>
      <c r="J142" s="9"/>
      <c r="K142" s="9"/>
      <c r="L142" s="9"/>
      <c r="M142" s="9"/>
      <c r="N142" s="9"/>
      <c r="O142" s="9"/>
      <c r="P142" s="9"/>
      <c r="Q142" s="179"/>
    </row>
    <row r="143" spans="1:17" x14ac:dyDescent="0.2">
      <c r="A143" s="178"/>
      <c r="B143" s="9"/>
      <c r="C143" s="9"/>
      <c r="D143" s="9"/>
      <c r="E143" s="9"/>
      <c r="F143" s="9"/>
      <c r="G143" s="9"/>
      <c r="H143" s="9"/>
      <c r="I143" s="9"/>
      <c r="J143" s="9"/>
      <c r="K143" s="9"/>
      <c r="L143" s="9"/>
      <c r="M143" s="9"/>
      <c r="N143" s="9"/>
      <c r="O143" s="9"/>
      <c r="P143" s="9"/>
      <c r="Q143" s="179"/>
    </row>
    <row r="144" spans="1:17" x14ac:dyDescent="0.2">
      <c r="A144" s="178"/>
      <c r="B144" s="9"/>
      <c r="C144" s="9"/>
      <c r="D144" s="9"/>
      <c r="E144" s="9"/>
      <c r="F144" s="9"/>
      <c r="G144" s="9"/>
      <c r="H144" s="9"/>
      <c r="I144" s="9"/>
      <c r="J144" s="9"/>
      <c r="K144" s="9"/>
      <c r="L144" s="9"/>
      <c r="M144" s="9"/>
      <c r="N144" s="9"/>
      <c r="O144" s="9"/>
      <c r="P144" s="9"/>
      <c r="Q144" s="179"/>
    </row>
    <row r="145" spans="1:17" x14ac:dyDescent="0.2">
      <c r="A145" s="178"/>
      <c r="B145" s="9"/>
      <c r="C145" s="9"/>
      <c r="D145" s="9"/>
      <c r="E145" s="9"/>
      <c r="F145" s="9"/>
      <c r="G145" s="9"/>
      <c r="H145" s="9"/>
      <c r="I145" s="9"/>
      <c r="J145" s="9"/>
      <c r="K145" s="9"/>
      <c r="L145" s="9"/>
      <c r="M145" s="9"/>
      <c r="N145" s="9"/>
      <c r="O145" s="9"/>
      <c r="P145" s="9"/>
      <c r="Q145" s="179"/>
    </row>
    <row r="146" spans="1:17" x14ac:dyDescent="0.2">
      <c r="A146" s="178"/>
      <c r="B146" s="9"/>
      <c r="C146" s="9"/>
      <c r="D146" s="9"/>
      <c r="E146" s="9"/>
      <c r="F146" s="9"/>
      <c r="G146" s="9"/>
      <c r="H146" s="9"/>
      <c r="I146" s="9"/>
      <c r="J146" s="9"/>
      <c r="K146" s="9"/>
      <c r="L146" s="9"/>
      <c r="M146" s="9"/>
      <c r="N146" s="9"/>
      <c r="O146" s="9"/>
      <c r="P146" s="9"/>
      <c r="Q146" s="179"/>
    </row>
    <row r="147" spans="1:17" x14ac:dyDescent="0.2">
      <c r="A147" s="178"/>
      <c r="B147" s="9"/>
      <c r="C147" s="9"/>
      <c r="D147" s="9"/>
      <c r="E147" s="9"/>
      <c r="F147" s="9"/>
      <c r="G147" s="9"/>
      <c r="H147" s="9"/>
      <c r="I147" s="9"/>
      <c r="J147" s="9"/>
      <c r="K147" s="9"/>
      <c r="L147" s="9"/>
      <c r="M147" s="9"/>
      <c r="N147" s="9"/>
      <c r="O147" s="9"/>
      <c r="P147" s="9"/>
      <c r="Q147" s="179"/>
    </row>
    <row r="148" spans="1:17" x14ac:dyDescent="0.2">
      <c r="A148" s="178"/>
      <c r="B148" s="9"/>
      <c r="C148" s="9"/>
      <c r="D148" s="9"/>
      <c r="E148" s="9"/>
      <c r="F148" s="9"/>
      <c r="G148" s="9"/>
      <c r="H148" s="9"/>
      <c r="I148" s="9"/>
      <c r="J148" s="9"/>
      <c r="K148" s="9"/>
      <c r="L148" s="9"/>
      <c r="M148" s="9"/>
      <c r="N148" s="9"/>
      <c r="O148" s="9"/>
      <c r="P148" s="9"/>
      <c r="Q148" s="179"/>
    </row>
    <row r="149" spans="1:17" x14ac:dyDescent="0.2">
      <c r="A149" s="178"/>
      <c r="B149" s="9"/>
      <c r="C149" s="9"/>
      <c r="D149" s="9"/>
      <c r="E149" s="9"/>
      <c r="F149" s="9"/>
      <c r="G149" s="9"/>
      <c r="H149" s="9"/>
      <c r="I149" s="9"/>
      <c r="J149" s="9"/>
      <c r="K149" s="9"/>
      <c r="L149" s="9"/>
      <c r="M149" s="9"/>
      <c r="N149" s="9"/>
      <c r="O149" s="9"/>
      <c r="P149" s="9"/>
      <c r="Q149" s="179"/>
    </row>
    <row r="150" spans="1:17" x14ac:dyDescent="0.2">
      <c r="A150" s="178"/>
      <c r="B150" s="9"/>
      <c r="C150" s="9"/>
      <c r="D150" s="9"/>
      <c r="E150" s="9"/>
      <c r="F150" s="9"/>
      <c r="G150" s="9"/>
      <c r="H150" s="9"/>
      <c r="I150" s="9"/>
      <c r="J150" s="9"/>
      <c r="K150" s="9"/>
      <c r="L150" s="9"/>
      <c r="M150" s="9"/>
      <c r="N150" s="9"/>
      <c r="O150" s="9"/>
      <c r="P150" s="9"/>
      <c r="Q150" s="179"/>
    </row>
    <row r="151" spans="1:17" x14ac:dyDescent="0.2">
      <c r="A151" s="178"/>
      <c r="B151" s="9"/>
      <c r="C151" s="9"/>
      <c r="D151" s="9"/>
      <c r="E151" s="9"/>
      <c r="F151" s="9"/>
      <c r="G151" s="9"/>
      <c r="H151" s="9"/>
      <c r="I151" s="9"/>
      <c r="J151" s="9"/>
      <c r="K151" s="9"/>
      <c r="L151" s="9"/>
      <c r="M151" s="9"/>
      <c r="N151" s="9"/>
      <c r="O151" s="9"/>
      <c r="P151" s="9"/>
      <c r="Q151" s="179"/>
    </row>
    <row r="152" spans="1:17" x14ac:dyDescent="0.2">
      <c r="A152" s="178"/>
      <c r="B152" s="9"/>
      <c r="C152" s="9"/>
      <c r="D152" s="9"/>
      <c r="E152" s="9"/>
      <c r="F152" s="9"/>
      <c r="G152" s="9"/>
      <c r="H152" s="9"/>
      <c r="I152" s="9"/>
      <c r="J152" s="9"/>
      <c r="K152" s="9"/>
      <c r="L152" s="9"/>
      <c r="M152" s="9"/>
      <c r="N152" s="9"/>
      <c r="O152" s="9"/>
      <c r="P152" s="9"/>
      <c r="Q152" s="179"/>
    </row>
    <row r="153" spans="1:17" x14ac:dyDescent="0.2">
      <c r="A153" s="178"/>
      <c r="B153" s="9"/>
      <c r="C153" s="9"/>
      <c r="D153" s="9"/>
      <c r="E153" s="9"/>
      <c r="F153" s="9"/>
      <c r="G153" s="9"/>
      <c r="H153" s="9"/>
      <c r="I153" s="9"/>
      <c r="J153" s="9"/>
      <c r="K153" s="9"/>
      <c r="L153" s="9"/>
      <c r="M153" s="9"/>
      <c r="N153" s="9"/>
      <c r="O153" s="9"/>
      <c r="P153" s="9"/>
      <c r="Q153" s="179"/>
    </row>
    <row r="154" spans="1:17" x14ac:dyDescent="0.2">
      <c r="A154" s="178"/>
      <c r="B154" s="9"/>
      <c r="C154" s="9"/>
      <c r="D154" s="9"/>
      <c r="E154" s="9"/>
      <c r="F154" s="9"/>
      <c r="G154" s="9"/>
      <c r="H154" s="9"/>
      <c r="I154" s="9"/>
      <c r="J154" s="9"/>
      <c r="K154" s="9"/>
      <c r="L154" s="9"/>
      <c r="M154" s="9"/>
      <c r="N154" s="9"/>
      <c r="O154" s="9"/>
      <c r="P154" s="9"/>
      <c r="Q154" s="179"/>
    </row>
    <row r="155" spans="1:17" x14ac:dyDescent="0.2">
      <c r="A155" s="178"/>
      <c r="B155" s="9"/>
      <c r="C155" s="9"/>
      <c r="D155" s="9"/>
      <c r="E155" s="9"/>
      <c r="F155" s="9"/>
      <c r="G155" s="9"/>
      <c r="H155" s="9"/>
      <c r="I155" s="9"/>
      <c r="J155" s="9"/>
      <c r="K155" s="9"/>
      <c r="L155" s="9"/>
      <c r="M155" s="9"/>
      <c r="N155" s="9"/>
      <c r="O155" s="9"/>
      <c r="P155" s="9"/>
      <c r="Q155" s="179"/>
    </row>
    <row r="156" spans="1:17" x14ac:dyDescent="0.2">
      <c r="A156" s="178"/>
      <c r="B156" s="9"/>
      <c r="C156" s="9"/>
      <c r="D156" s="9"/>
      <c r="E156" s="9"/>
      <c r="F156" s="9"/>
      <c r="G156" s="9"/>
      <c r="H156" s="9"/>
      <c r="I156" s="9"/>
      <c r="J156" s="9"/>
      <c r="K156" s="9"/>
      <c r="L156" s="9"/>
      <c r="M156" s="9"/>
      <c r="N156" s="9"/>
      <c r="O156" s="9"/>
      <c r="P156" s="9"/>
      <c r="Q156" s="179"/>
    </row>
    <row r="157" spans="1:17" x14ac:dyDescent="0.2">
      <c r="A157" s="178"/>
      <c r="B157" s="9"/>
      <c r="C157" s="9"/>
      <c r="D157" s="9"/>
      <c r="E157" s="9"/>
      <c r="F157" s="9"/>
      <c r="G157" s="9"/>
      <c r="H157" s="9"/>
      <c r="I157" s="9"/>
      <c r="J157" s="9"/>
      <c r="K157" s="9"/>
      <c r="L157" s="9"/>
      <c r="M157" s="9"/>
      <c r="N157" s="9"/>
      <c r="O157" s="9"/>
      <c r="P157" s="9"/>
      <c r="Q157" s="179"/>
    </row>
    <row r="158" spans="1:17" x14ac:dyDescent="0.2">
      <c r="A158" s="178"/>
      <c r="B158" s="9"/>
      <c r="C158" s="9"/>
      <c r="D158" s="9"/>
      <c r="E158" s="9"/>
      <c r="F158" s="9"/>
      <c r="G158" s="9"/>
      <c r="H158" s="9"/>
      <c r="I158" s="9"/>
      <c r="J158" s="9"/>
      <c r="K158" s="9"/>
      <c r="L158" s="9"/>
      <c r="M158" s="9"/>
      <c r="N158" s="9"/>
      <c r="O158" s="9"/>
      <c r="P158" s="9"/>
      <c r="Q158" s="179"/>
    </row>
    <row r="159" spans="1:17" x14ac:dyDescent="0.2">
      <c r="A159" s="178"/>
      <c r="B159" s="9"/>
      <c r="C159" s="9"/>
      <c r="D159" s="9"/>
      <c r="E159" s="9"/>
      <c r="F159" s="9"/>
      <c r="G159" s="9"/>
      <c r="H159" s="9"/>
      <c r="I159" s="9"/>
      <c r="J159" s="9"/>
      <c r="K159" s="9"/>
      <c r="L159" s="9"/>
      <c r="M159" s="9"/>
      <c r="N159" s="9"/>
      <c r="O159" s="9"/>
      <c r="P159" s="9"/>
      <c r="Q159" s="179"/>
    </row>
    <row r="160" spans="1:17" x14ac:dyDescent="0.2">
      <c r="A160" s="178"/>
      <c r="B160" s="9"/>
      <c r="C160" s="9"/>
      <c r="D160" s="9"/>
      <c r="E160" s="9"/>
      <c r="F160" s="9"/>
      <c r="G160" s="9"/>
      <c r="H160" s="9"/>
      <c r="I160" s="9"/>
      <c r="J160" s="9"/>
      <c r="K160" s="9"/>
      <c r="L160" s="9"/>
      <c r="M160" s="9"/>
      <c r="N160" s="9"/>
      <c r="O160" s="9"/>
      <c r="P160" s="9"/>
      <c r="Q160" s="179"/>
    </row>
    <row r="161" spans="1:17" x14ac:dyDescent="0.2">
      <c r="A161" s="178"/>
      <c r="B161" s="9"/>
      <c r="C161" s="9"/>
      <c r="D161" s="9"/>
      <c r="E161" s="9"/>
      <c r="F161" s="9"/>
      <c r="G161" s="9"/>
      <c r="H161" s="9"/>
      <c r="I161" s="9"/>
      <c r="J161" s="9"/>
      <c r="K161" s="9"/>
      <c r="L161" s="9"/>
      <c r="M161" s="9"/>
      <c r="N161" s="9"/>
      <c r="O161" s="9"/>
      <c r="P161" s="9"/>
      <c r="Q161" s="179"/>
    </row>
    <row r="162" spans="1:17" x14ac:dyDescent="0.2">
      <c r="A162" s="178"/>
      <c r="B162" s="9"/>
      <c r="C162" s="9"/>
      <c r="D162" s="9"/>
      <c r="E162" s="9"/>
      <c r="F162" s="9"/>
      <c r="G162" s="9"/>
      <c r="H162" s="9"/>
      <c r="I162" s="9"/>
      <c r="J162" s="9"/>
      <c r="K162" s="9"/>
      <c r="L162" s="9"/>
      <c r="M162" s="9"/>
      <c r="N162" s="9"/>
      <c r="O162" s="9"/>
      <c r="P162" s="9"/>
      <c r="Q162" s="179"/>
    </row>
    <row r="163" spans="1:17" x14ac:dyDescent="0.2">
      <c r="A163" s="178"/>
      <c r="B163" s="9"/>
      <c r="C163" s="9"/>
      <c r="D163" s="9"/>
      <c r="E163" s="9"/>
      <c r="F163" s="9"/>
      <c r="G163" s="9"/>
      <c r="H163" s="9"/>
      <c r="I163" s="9"/>
      <c r="J163" s="9"/>
      <c r="K163" s="9"/>
      <c r="L163" s="9"/>
      <c r="M163" s="9"/>
      <c r="N163" s="9"/>
      <c r="O163" s="9"/>
      <c r="P163" s="9"/>
      <c r="Q163" s="179"/>
    </row>
    <row r="164" spans="1:17" x14ac:dyDescent="0.2">
      <c r="A164" s="178"/>
      <c r="B164" s="9"/>
      <c r="C164" s="9"/>
      <c r="D164" s="9"/>
      <c r="E164" s="9"/>
      <c r="F164" s="9"/>
      <c r="G164" s="9"/>
      <c r="H164" s="9"/>
      <c r="I164" s="9"/>
      <c r="J164" s="9"/>
      <c r="K164" s="9"/>
      <c r="L164" s="9"/>
      <c r="M164" s="9"/>
      <c r="N164" s="9"/>
      <c r="O164" s="9"/>
      <c r="P164" s="9"/>
      <c r="Q164" s="179"/>
    </row>
    <row r="165" spans="1:17" x14ac:dyDescent="0.2">
      <c r="A165" s="178"/>
      <c r="B165" s="9"/>
      <c r="C165" s="9"/>
      <c r="D165" s="9"/>
      <c r="E165" s="9"/>
      <c r="F165" s="9"/>
      <c r="G165" s="9"/>
      <c r="H165" s="9"/>
      <c r="I165" s="9"/>
      <c r="J165" s="9"/>
      <c r="K165" s="9"/>
      <c r="L165" s="9"/>
      <c r="M165" s="9"/>
      <c r="N165" s="9"/>
      <c r="O165" s="9"/>
      <c r="P165" s="9"/>
      <c r="Q165" s="179"/>
    </row>
    <row r="166" spans="1:17" x14ac:dyDescent="0.2">
      <c r="A166" s="178"/>
      <c r="B166" s="9"/>
      <c r="C166" s="9"/>
      <c r="D166" s="9"/>
      <c r="E166" s="9"/>
      <c r="F166" s="9"/>
      <c r="G166" s="9"/>
      <c r="H166" s="9"/>
      <c r="I166" s="9"/>
      <c r="J166" s="9"/>
      <c r="K166" s="9"/>
      <c r="L166" s="9"/>
      <c r="M166" s="9"/>
      <c r="N166" s="9"/>
      <c r="O166" s="9"/>
      <c r="P166" s="9"/>
      <c r="Q166" s="179"/>
    </row>
    <row r="167" spans="1:17" x14ac:dyDescent="0.2">
      <c r="A167" s="178"/>
      <c r="B167" s="9"/>
      <c r="C167" s="9"/>
      <c r="D167" s="9"/>
      <c r="E167" s="9"/>
      <c r="F167" s="9"/>
      <c r="G167" s="9"/>
      <c r="H167" s="9"/>
      <c r="I167" s="9"/>
      <c r="J167" s="9"/>
      <c r="K167" s="9"/>
      <c r="L167" s="9"/>
      <c r="M167" s="9"/>
      <c r="N167" s="9"/>
      <c r="O167" s="9"/>
      <c r="P167" s="9"/>
      <c r="Q167" s="179"/>
    </row>
    <row r="168" spans="1:17" x14ac:dyDescent="0.2">
      <c r="A168" s="178"/>
      <c r="B168" s="9"/>
      <c r="C168" s="9"/>
      <c r="D168" s="9"/>
      <c r="E168" s="9"/>
      <c r="F168" s="9"/>
      <c r="G168" s="9"/>
      <c r="H168" s="9"/>
      <c r="I168" s="9"/>
      <c r="J168" s="9"/>
      <c r="K168" s="9"/>
      <c r="L168" s="9"/>
      <c r="M168" s="9"/>
      <c r="N168" s="9"/>
      <c r="O168" s="9"/>
      <c r="P168" s="9"/>
      <c r="Q168" s="179"/>
    </row>
    <row r="169" spans="1:17" x14ac:dyDescent="0.2">
      <c r="A169" s="178"/>
      <c r="B169" s="9"/>
      <c r="C169" s="9"/>
      <c r="D169" s="9"/>
      <c r="E169" s="9"/>
      <c r="F169" s="9"/>
      <c r="G169" s="9"/>
      <c r="H169" s="9"/>
      <c r="I169" s="9"/>
      <c r="J169" s="9"/>
      <c r="K169" s="9"/>
      <c r="L169" s="9"/>
      <c r="M169" s="9"/>
      <c r="N169" s="9"/>
      <c r="O169" s="9"/>
      <c r="P169" s="9"/>
      <c r="Q169" s="179"/>
    </row>
    <row r="170" spans="1:17" x14ac:dyDescent="0.2">
      <c r="A170" s="178"/>
      <c r="B170" s="9"/>
      <c r="C170" s="9"/>
      <c r="D170" s="9"/>
      <c r="E170" s="9"/>
      <c r="F170" s="9"/>
      <c r="G170" s="9"/>
      <c r="H170" s="9"/>
      <c r="I170" s="9"/>
      <c r="J170" s="9"/>
      <c r="K170" s="9"/>
      <c r="L170" s="9"/>
      <c r="M170" s="9"/>
      <c r="N170" s="9"/>
      <c r="O170" s="9"/>
      <c r="P170" s="9"/>
      <c r="Q170" s="179"/>
    </row>
    <row r="171" spans="1:17" x14ac:dyDescent="0.2">
      <c r="A171" s="178"/>
      <c r="B171" s="9"/>
      <c r="C171" s="9"/>
      <c r="D171" s="9"/>
      <c r="E171" s="9"/>
      <c r="F171" s="9"/>
      <c r="G171" s="9"/>
      <c r="H171" s="9"/>
      <c r="I171" s="9"/>
      <c r="J171" s="9"/>
      <c r="K171" s="9"/>
      <c r="L171" s="9"/>
      <c r="M171" s="9"/>
      <c r="N171" s="9"/>
      <c r="O171" s="9"/>
      <c r="P171" s="9"/>
      <c r="Q171" s="179"/>
    </row>
    <row r="172" spans="1:17" x14ac:dyDescent="0.2">
      <c r="A172" s="178"/>
      <c r="B172" s="9"/>
      <c r="C172" s="9"/>
      <c r="D172" s="9"/>
      <c r="E172" s="9"/>
      <c r="F172" s="9"/>
      <c r="G172" s="9"/>
      <c r="H172" s="9"/>
      <c r="I172" s="9"/>
      <c r="J172" s="9"/>
      <c r="K172" s="9"/>
      <c r="L172" s="9"/>
      <c r="M172" s="9"/>
      <c r="N172" s="9"/>
      <c r="O172" s="9"/>
      <c r="P172" s="9"/>
      <c r="Q172" s="179"/>
    </row>
    <row r="173" spans="1:17" x14ac:dyDescent="0.2">
      <c r="A173" s="178"/>
      <c r="B173" s="9"/>
      <c r="C173" s="9"/>
      <c r="D173" s="9"/>
      <c r="E173" s="9"/>
      <c r="F173" s="9"/>
      <c r="G173" s="9"/>
      <c r="H173" s="9"/>
      <c r="I173" s="9"/>
      <c r="J173" s="9"/>
      <c r="K173" s="9"/>
      <c r="L173" s="9"/>
      <c r="M173" s="9"/>
      <c r="N173" s="9"/>
      <c r="O173" s="9"/>
      <c r="P173" s="9"/>
      <c r="Q173" s="179"/>
    </row>
    <row r="174" spans="1:17" x14ac:dyDescent="0.2">
      <c r="A174" s="178"/>
      <c r="B174" s="9"/>
      <c r="C174" s="9"/>
      <c r="D174" s="9"/>
      <c r="E174" s="9"/>
      <c r="F174" s="9"/>
      <c r="G174" s="9"/>
      <c r="H174" s="9"/>
      <c r="I174" s="9"/>
      <c r="J174" s="9"/>
      <c r="K174" s="9"/>
      <c r="L174" s="9"/>
      <c r="M174" s="9"/>
      <c r="N174" s="9"/>
      <c r="O174" s="9"/>
      <c r="P174" s="9"/>
      <c r="Q174" s="179"/>
    </row>
    <row r="175" spans="1:17" x14ac:dyDescent="0.2">
      <c r="A175" s="178"/>
      <c r="B175" s="9"/>
      <c r="C175" s="9"/>
      <c r="D175" s="9"/>
      <c r="E175" s="9"/>
      <c r="F175" s="9"/>
      <c r="G175" s="9"/>
      <c r="H175" s="9"/>
      <c r="I175" s="9"/>
      <c r="J175" s="9"/>
      <c r="K175" s="9"/>
      <c r="L175" s="9"/>
      <c r="M175" s="9"/>
      <c r="N175" s="9"/>
      <c r="O175" s="9"/>
      <c r="P175" s="9"/>
      <c r="Q175" s="179"/>
    </row>
    <row r="176" spans="1:17" x14ac:dyDescent="0.2">
      <c r="A176" s="178"/>
      <c r="B176" s="9"/>
      <c r="C176" s="9"/>
      <c r="D176" s="9"/>
      <c r="E176" s="9"/>
      <c r="F176" s="9"/>
      <c r="G176" s="9"/>
      <c r="H176" s="9"/>
      <c r="I176" s="9"/>
      <c r="J176" s="9"/>
      <c r="K176" s="9"/>
      <c r="L176" s="9"/>
      <c r="M176" s="9"/>
      <c r="N176" s="9"/>
      <c r="O176" s="9"/>
      <c r="P176" s="9"/>
      <c r="Q176" s="179"/>
    </row>
    <row r="177" spans="1:17" x14ac:dyDescent="0.2">
      <c r="A177" s="178"/>
      <c r="B177" s="9"/>
      <c r="C177" s="9"/>
      <c r="D177" s="9"/>
      <c r="E177" s="9"/>
      <c r="F177" s="9"/>
      <c r="G177" s="9"/>
      <c r="H177" s="9"/>
      <c r="I177" s="9"/>
      <c r="J177" s="9"/>
      <c r="K177" s="9"/>
      <c r="L177" s="9"/>
      <c r="M177" s="9"/>
      <c r="N177" s="9"/>
      <c r="O177" s="9"/>
      <c r="P177" s="9"/>
      <c r="Q177" s="179"/>
    </row>
    <row r="178" spans="1:17" x14ac:dyDescent="0.2">
      <c r="A178" s="178"/>
      <c r="B178" s="9"/>
      <c r="C178" s="9"/>
      <c r="D178" s="9"/>
      <c r="E178" s="9"/>
      <c r="F178" s="9"/>
      <c r="G178" s="9"/>
      <c r="H178" s="9"/>
      <c r="I178" s="9"/>
      <c r="J178" s="9"/>
      <c r="K178" s="9"/>
      <c r="L178" s="9"/>
      <c r="M178" s="9"/>
      <c r="N178" s="9"/>
      <c r="O178" s="9"/>
      <c r="P178" s="9"/>
      <c r="Q178" s="179"/>
    </row>
    <row r="179" spans="1:17" x14ac:dyDescent="0.2">
      <c r="A179" s="178"/>
      <c r="B179" s="9"/>
      <c r="C179" s="9"/>
      <c r="D179" s="9"/>
      <c r="E179" s="9"/>
      <c r="F179" s="9"/>
      <c r="G179" s="9"/>
      <c r="H179" s="9"/>
      <c r="I179" s="9"/>
      <c r="J179" s="9"/>
      <c r="K179" s="9"/>
      <c r="L179" s="9"/>
      <c r="M179" s="9"/>
      <c r="N179" s="9"/>
      <c r="O179" s="9"/>
      <c r="P179" s="9"/>
      <c r="Q179" s="179"/>
    </row>
    <row r="180" spans="1:17" x14ac:dyDescent="0.2">
      <c r="A180" s="178"/>
      <c r="B180" s="9"/>
      <c r="C180" s="9"/>
      <c r="D180" s="9"/>
      <c r="E180" s="9"/>
      <c r="F180" s="9"/>
      <c r="G180" s="9"/>
      <c r="H180" s="9"/>
      <c r="I180" s="9"/>
      <c r="J180" s="9"/>
      <c r="K180" s="9"/>
      <c r="L180" s="9"/>
      <c r="M180" s="9"/>
      <c r="N180" s="9"/>
      <c r="O180" s="9"/>
      <c r="P180" s="9"/>
      <c r="Q180" s="179"/>
    </row>
    <row r="181" spans="1:17" x14ac:dyDescent="0.2">
      <c r="A181" s="178"/>
      <c r="B181" s="9"/>
      <c r="C181" s="9"/>
      <c r="D181" s="9"/>
      <c r="E181" s="9"/>
      <c r="F181" s="9"/>
      <c r="G181" s="9"/>
      <c r="H181" s="9"/>
      <c r="I181" s="9"/>
      <c r="J181" s="9"/>
      <c r="K181" s="9"/>
      <c r="L181" s="9"/>
      <c r="M181" s="9"/>
      <c r="N181" s="9"/>
      <c r="O181" s="9"/>
      <c r="P181" s="9"/>
      <c r="Q181" s="179"/>
    </row>
    <row r="182" spans="1:17" x14ac:dyDescent="0.2">
      <c r="A182" s="178"/>
      <c r="B182" s="9"/>
      <c r="C182" s="9"/>
      <c r="D182" s="9"/>
      <c r="E182" s="9"/>
      <c r="F182" s="9"/>
      <c r="G182" s="9"/>
      <c r="H182" s="9"/>
      <c r="I182" s="9"/>
      <c r="J182" s="9"/>
      <c r="K182" s="9"/>
      <c r="L182" s="9"/>
      <c r="M182" s="9"/>
      <c r="N182" s="9"/>
      <c r="O182" s="9"/>
      <c r="P182" s="9"/>
      <c r="Q182" s="179"/>
    </row>
    <row r="183" spans="1:17" x14ac:dyDescent="0.2">
      <c r="A183" s="178"/>
      <c r="B183" s="9"/>
      <c r="C183" s="9"/>
      <c r="D183" s="9"/>
      <c r="E183" s="9"/>
      <c r="F183" s="9"/>
      <c r="G183" s="9"/>
      <c r="H183" s="9"/>
      <c r="I183" s="9"/>
      <c r="J183" s="9"/>
      <c r="K183" s="9"/>
      <c r="L183" s="9"/>
      <c r="M183" s="9"/>
      <c r="N183" s="9"/>
      <c r="O183" s="9"/>
      <c r="P183" s="9"/>
      <c r="Q183" s="179"/>
    </row>
    <row r="184" spans="1:17" x14ac:dyDescent="0.2">
      <c r="A184" s="178"/>
      <c r="B184" s="9"/>
      <c r="C184" s="9"/>
      <c r="D184" s="9"/>
      <c r="E184" s="9"/>
      <c r="F184" s="9"/>
      <c r="G184" s="9"/>
      <c r="H184" s="9"/>
      <c r="I184" s="9"/>
      <c r="J184" s="9"/>
      <c r="K184" s="9"/>
      <c r="L184" s="9"/>
      <c r="M184" s="9"/>
      <c r="N184" s="9"/>
      <c r="O184" s="9"/>
      <c r="P184" s="9"/>
      <c r="Q184" s="179"/>
    </row>
    <row r="185" spans="1:17" x14ac:dyDescent="0.2">
      <c r="A185" s="178"/>
      <c r="B185" s="9"/>
      <c r="C185" s="9"/>
      <c r="D185" s="9"/>
      <c r="E185" s="9"/>
      <c r="F185" s="9"/>
      <c r="G185" s="9"/>
      <c r="H185" s="9"/>
      <c r="I185" s="9"/>
      <c r="J185" s="9"/>
      <c r="K185" s="9"/>
      <c r="L185" s="9"/>
      <c r="M185" s="9"/>
      <c r="N185" s="9"/>
      <c r="O185" s="9"/>
      <c r="P185" s="9"/>
      <c r="Q185" s="179"/>
    </row>
    <row r="186" spans="1:17" x14ac:dyDescent="0.2">
      <c r="A186" s="178"/>
      <c r="B186" s="9"/>
      <c r="C186" s="9"/>
      <c r="D186" s="9"/>
      <c r="E186" s="9"/>
      <c r="F186" s="9"/>
      <c r="G186" s="9"/>
      <c r="H186" s="9"/>
      <c r="I186" s="9"/>
      <c r="J186" s="9"/>
      <c r="K186" s="9"/>
      <c r="L186" s="9"/>
      <c r="M186" s="9"/>
      <c r="N186" s="9"/>
      <c r="O186" s="9"/>
      <c r="P186" s="9"/>
      <c r="Q186" s="179"/>
    </row>
    <row r="187" spans="1:17" x14ac:dyDescent="0.2">
      <c r="A187" s="178"/>
      <c r="B187" s="9"/>
      <c r="C187" s="9"/>
      <c r="D187" s="9"/>
      <c r="E187" s="9"/>
      <c r="F187" s="9"/>
      <c r="G187" s="9"/>
      <c r="H187" s="9"/>
      <c r="I187" s="9"/>
      <c r="J187" s="9"/>
      <c r="K187" s="9"/>
      <c r="L187" s="9"/>
      <c r="M187" s="9"/>
      <c r="N187" s="9"/>
      <c r="O187" s="9"/>
      <c r="P187" s="9"/>
      <c r="Q187" s="179"/>
    </row>
    <row r="188" spans="1:17" x14ac:dyDescent="0.2">
      <c r="A188" s="178"/>
      <c r="B188" s="9"/>
      <c r="C188" s="9"/>
      <c r="D188" s="9"/>
      <c r="E188" s="9"/>
      <c r="F188" s="9"/>
      <c r="G188" s="9"/>
      <c r="H188" s="9"/>
      <c r="I188" s="9"/>
      <c r="J188" s="9"/>
      <c r="K188" s="9"/>
      <c r="L188" s="9"/>
      <c r="M188" s="9"/>
      <c r="N188" s="9"/>
      <c r="O188" s="9"/>
      <c r="P188" s="9"/>
      <c r="Q188" s="179"/>
    </row>
    <row r="189" spans="1:17" x14ac:dyDescent="0.2">
      <c r="A189" s="178"/>
      <c r="B189" s="9"/>
      <c r="C189" s="9"/>
      <c r="D189" s="9"/>
      <c r="E189" s="9"/>
      <c r="F189" s="9"/>
      <c r="G189" s="9"/>
      <c r="H189" s="9"/>
      <c r="I189" s="9"/>
      <c r="J189" s="9"/>
      <c r="K189" s="9"/>
      <c r="L189" s="9"/>
      <c r="M189" s="9"/>
      <c r="N189" s="9"/>
      <c r="O189" s="9"/>
      <c r="P189" s="9"/>
      <c r="Q189" s="179"/>
    </row>
    <row r="190" spans="1:17" x14ac:dyDescent="0.2">
      <c r="A190" s="178"/>
      <c r="B190" s="9"/>
      <c r="C190" s="9"/>
      <c r="D190" s="9"/>
      <c r="E190" s="9"/>
      <c r="F190" s="9"/>
      <c r="G190" s="9"/>
      <c r="H190" s="9"/>
      <c r="I190" s="9"/>
      <c r="J190" s="9"/>
      <c r="K190" s="9"/>
      <c r="L190" s="9"/>
      <c r="M190" s="9"/>
      <c r="N190" s="9"/>
      <c r="O190" s="9"/>
      <c r="P190" s="9"/>
      <c r="Q190" s="179"/>
    </row>
    <row r="191" spans="1:17" x14ac:dyDescent="0.2">
      <c r="A191" s="178"/>
      <c r="B191" s="9"/>
      <c r="C191" s="9"/>
      <c r="D191" s="9"/>
      <c r="E191" s="9"/>
      <c r="F191" s="9"/>
      <c r="G191" s="9"/>
      <c r="H191" s="9"/>
      <c r="I191" s="9"/>
      <c r="J191" s="9"/>
      <c r="K191" s="9"/>
      <c r="L191" s="9"/>
      <c r="M191" s="9"/>
      <c r="N191" s="9"/>
      <c r="O191" s="9"/>
      <c r="P191" s="9"/>
      <c r="Q191" s="179"/>
    </row>
    <row r="192" spans="1:17" x14ac:dyDescent="0.2">
      <c r="A192" s="178"/>
      <c r="B192" s="9"/>
      <c r="C192" s="9"/>
      <c r="D192" s="9"/>
      <c r="E192" s="9"/>
      <c r="F192" s="9"/>
      <c r="G192" s="9"/>
      <c r="H192" s="9"/>
      <c r="I192" s="9"/>
      <c r="J192" s="9"/>
      <c r="K192" s="9"/>
      <c r="L192" s="9"/>
      <c r="M192" s="9"/>
      <c r="N192" s="9"/>
      <c r="O192" s="9"/>
      <c r="P192" s="9"/>
      <c r="Q192" s="179"/>
    </row>
    <row r="193" spans="1:17" x14ac:dyDescent="0.2">
      <c r="A193" s="178"/>
      <c r="B193" s="9"/>
      <c r="C193" s="9"/>
      <c r="D193" s="9"/>
      <c r="E193" s="9"/>
      <c r="F193" s="9"/>
      <c r="G193" s="9"/>
      <c r="H193" s="9"/>
      <c r="I193" s="9"/>
      <c r="J193" s="9"/>
      <c r="K193" s="9"/>
      <c r="L193" s="9"/>
      <c r="M193" s="9"/>
      <c r="N193" s="9"/>
      <c r="O193" s="9"/>
      <c r="P193" s="9"/>
      <c r="Q193" s="179"/>
    </row>
    <row r="194" spans="1:17" x14ac:dyDescent="0.2">
      <c r="A194" s="178"/>
      <c r="B194" s="9"/>
      <c r="C194" s="9"/>
      <c r="D194" s="9"/>
      <c r="E194" s="9"/>
      <c r="F194" s="9"/>
      <c r="G194" s="9"/>
      <c r="H194" s="9"/>
      <c r="I194" s="9"/>
      <c r="J194" s="9"/>
      <c r="K194" s="9"/>
      <c r="L194" s="9"/>
      <c r="M194" s="9"/>
      <c r="N194" s="9"/>
      <c r="O194" s="9"/>
      <c r="P194" s="9"/>
      <c r="Q194" s="179"/>
    </row>
    <row r="195" spans="1:17" x14ac:dyDescent="0.2">
      <c r="A195" s="178"/>
      <c r="B195" s="9"/>
      <c r="C195" s="9"/>
      <c r="D195" s="9"/>
      <c r="E195" s="9"/>
      <c r="F195" s="9"/>
      <c r="G195" s="9"/>
      <c r="H195" s="9"/>
      <c r="I195" s="9"/>
      <c r="J195" s="9"/>
      <c r="K195" s="9"/>
      <c r="L195" s="9"/>
      <c r="M195" s="9"/>
      <c r="N195" s="9"/>
      <c r="O195" s="9"/>
      <c r="P195" s="9"/>
      <c r="Q195" s="179"/>
    </row>
    <row r="196" spans="1:17" x14ac:dyDescent="0.2">
      <c r="A196" s="178"/>
      <c r="B196" s="9"/>
      <c r="C196" s="9"/>
      <c r="D196" s="9"/>
      <c r="E196" s="9"/>
      <c r="F196" s="9"/>
      <c r="G196" s="9"/>
      <c r="H196" s="9"/>
      <c r="I196" s="9"/>
      <c r="J196" s="9"/>
      <c r="K196" s="9"/>
      <c r="L196" s="9"/>
      <c r="M196" s="9"/>
      <c r="N196" s="9"/>
      <c r="O196" s="9"/>
      <c r="P196" s="9"/>
      <c r="Q196" s="179"/>
    </row>
    <row r="197" spans="1:17" x14ac:dyDescent="0.2">
      <c r="A197" s="178"/>
      <c r="B197" s="9"/>
      <c r="C197" s="9"/>
      <c r="D197" s="9"/>
      <c r="E197" s="9"/>
      <c r="F197" s="9"/>
      <c r="G197" s="9"/>
      <c r="H197" s="9"/>
      <c r="I197" s="9"/>
      <c r="J197" s="9"/>
      <c r="K197" s="9"/>
      <c r="L197" s="9"/>
      <c r="M197" s="9"/>
      <c r="N197" s="9"/>
      <c r="O197" s="9"/>
      <c r="P197" s="9"/>
      <c r="Q197" s="179"/>
    </row>
    <row r="198" spans="1:17" x14ac:dyDescent="0.2">
      <c r="A198" s="178"/>
      <c r="B198" s="9"/>
      <c r="C198" s="9"/>
      <c r="D198" s="9"/>
      <c r="E198" s="9"/>
      <c r="F198" s="9"/>
      <c r="G198" s="9"/>
      <c r="H198" s="9"/>
      <c r="I198" s="9"/>
      <c r="J198" s="9"/>
      <c r="K198" s="9"/>
      <c r="L198" s="9"/>
      <c r="M198" s="9"/>
      <c r="N198" s="9"/>
      <c r="O198" s="9"/>
      <c r="P198" s="9"/>
      <c r="Q198" s="179"/>
    </row>
    <row r="199" spans="1:17" x14ac:dyDescent="0.2">
      <c r="A199" s="178"/>
      <c r="B199" s="9"/>
      <c r="C199" s="9"/>
      <c r="D199" s="9"/>
      <c r="E199" s="9"/>
      <c r="F199" s="9"/>
      <c r="G199" s="9"/>
      <c r="H199" s="9"/>
      <c r="I199" s="9"/>
      <c r="J199" s="9"/>
      <c r="K199" s="9"/>
      <c r="L199" s="9"/>
      <c r="M199" s="9"/>
      <c r="N199" s="9"/>
      <c r="O199" s="9"/>
      <c r="P199" s="9"/>
      <c r="Q199" s="179"/>
    </row>
    <row r="200" spans="1:17" x14ac:dyDescent="0.2">
      <c r="A200" s="178"/>
      <c r="B200" s="9"/>
      <c r="C200" s="9"/>
      <c r="D200" s="9"/>
      <c r="E200" s="9"/>
      <c r="F200" s="9"/>
      <c r="G200" s="9"/>
      <c r="H200" s="9"/>
      <c r="I200" s="9"/>
      <c r="J200" s="9"/>
      <c r="K200" s="9"/>
      <c r="L200" s="9"/>
      <c r="M200" s="9"/>
      <c r="N200" s="9"/>
      <c r="O200" s="9"/>
      <c r="P200" s="9"/>
      <c r="Q200" s="179"/>
    </row>
    <row r="201" spans="1:17" x14ac:dyDescent="0.2">
      <c r="A201" s="178"/>
      <c r="B201" s="9"/>
      <c r="C201" s="9"/>
      <c r="D201" s="9"/>
      <c r="E201" s="9"/>
      <c r="F201" s="9"/>
      <c r="G201" s="9"/>
      <c r="H201" s="9"/>
      <c r="I201" s="9"/>
      <c r="J201" s="9"/>
      <c r="K201" s="9"/>
      <c r="L201" s="9"/>
      <c r="M201" s="9"/>
      <c r="N201" s="9"/>
      <c r="O201" s="9"/>
      <c r="P201" s="9"/>
      <c r="Q201" s="179"/>
    </row>
    <row r="202" spans="1:17" x14ac:dyDescent="0.2">
      <c r="A202" s="178"/>
      <c r="B202" s="9"/>
      <c r="C202" s="9"/>
      <c r="D202" s="9"/>
      <c r="E202" s="9"/>
      <c r="F202" s="9"/>
      <c r="G202" s="9"/>
      <c r="H202" s="9"/>
      <c r="I202" s="9"/>
      <c r="J202" s="9"/>
      <c r="K202" s="9"/>
      <c r="L202" s="9"/>
      <c r="M202" s="9"/>
      <c r="N202" s="9"/>
      <c r="O202" s="9"/>
      <c r="P202" s="9"/>
      <c r="Q202" s="179"/>
    </row>
    <row r="203" spans="1:17" x14ac:dyDescent="0.2">
      <c r="A203" s="178"/>
      <c r="B203" s="9"/>
      <c r="C203" s="9"/>
      <c r="D203" s="9"/>
      <c r="E203" s="9"/>
      <c r="F203" s="9"/>
      <c r="G203" s="9"/>
      <c r="H203" s="9"/>
      <c r="I203" s="9"/>
      <c r="J203" s="9"/>
      <c r="K203" s="9"/>
      <c r="L203" s="9"/>
      <c r="M203" s="9"/>
      <c r="N203" s="9"/>
      <c r="O203" s="9"/>
      <c r="P203" s="9"/>
      <c r="Q203" s="179"/>
    </row>
    <row r="204" spans="1:17" x14ac:dyDescent="0.2">
      <c r="A204" s="178"/>
      <c r="B204" s="9"/>
      <c r="C204" s="9"/>
      <c r="D204" s="9"/>
      <c r="E204" s="9"/>
      <c r="F204" s="9"/>
      <c r="G204" s="9"/>
      <c r="H204" s="9"/>
      <c r="I204" s="9"/>
      <c r="J204" s="9"/>
      <c r="K204" s="9"/>
      <c r="L204" s="9"/>
      <c r="M204" s="9"/>
      <c r="N204" s="9"/>
      <c r="O204" s="9"/>
      <c r="P204" s="9"/>
      <c r="Q204" s="179"/>
    </row>
    <row r="205" spans="1:17" x14ac:dyDescent="0.2">
      <c r="A205" s="178"/>
      <c r="B205" s="9"/>
      <c r="C205" s="9"/>
      <c r="D205" s="9"/>
      <c r="E205" s="9"/>
      <c r="F205" s="9"/>
      <c r="G205" s="9"/>
      <c r="H205" s="9"/>
      <c r="I205" s="9"/>
      <c r="J205" s="9"/>
      <c r="K205" s="9"/>
      <c r="L205" s="9"/>
      <c r="M205" s="9"/>
      <c r="N205" s="9"/>
      <c r="O205" s="9"/>
      <c r="P205" s="9"/>
      <c r="Q205" s="179"/>
    </row>
    <row r="206" spans="1:17" x14ac:dyDescent="0.2">
      <c r="A206" s="178"/>
      <c r="B206" s="9"/>
      <c r="C206" s="9"/>
      <c r="D206" s="9"/>
      <c r="E206" s="9"/>
      <c r="F206" s="9"/>
      <c r="G206" s="9"/>
      <c r="H206" s="9"/>
      <c r="I206" s="9"/>
      <c r="J206" s="9"/>
      <c r="K206" s="9"/>
      <c r="L206" s="9"/>
      <c r="M206" s="9"/>
      <c r="N206" s="9"/>
      <c r="O206" s="9"/>
      <c r="P206" s="9"/>
      <c r="Q206" s="179"/>
    </row>
    <row r="207" spans="1:17" x14ac:dyDescent="0.2">
      <c r="A207" s="178"/>
      <c r="B207" s="9"/>
      <c r="C207" s="9"/>
      <c r="D207" s="9"/>
      <c r="E207" s="9"/>
      <c r="F207" s="9"/>
      <c r="G207" s="9"/>
      <c r="H207" s="9"/>
      <c r="I207" s="9"/>
      <c r="J207" s="9"/>
      <c r="K207" s="9"/>
      <c r="L207" s="9"/>
      <c r="M207" s="9"/>
      <c r="N207" s="9"/>
      <c r="O207" s="9"/>
      <c r="P207" s="9"/>
      <c r="Q207" s="179"/>
    </row>
    <row r="208" spans="1:17" x14ac:dyDescent="0.2">
      <c r="A208" s="178"/>
      <c r="B208" s="9"/>
      <c r="C208" s="9"/>
      <c r="D208" s="9"/>
      <c r="E208" s="9"/>
      <c r="F208" s="9"/>
      <c r="G208" s="9"/>
      <c r="H208" s="9"/>
      <c r="I208" s="9"/>
      <c r="J208" s="9"/>
      <c r="K208" s="9"/>
      <c r="L208" s="9"/>
      <c r="M208" s="9"/>
      <c r="N208" s="9"/>
      <c r="O208" s="9"/>
      <c r="P208" s="9"/>
      <c r="Q208" s="179"/>
    </row>
    <row r="209" spans="1:17" x14ac:dyDescent="0.2">
      <c r="A209" s="178"/>
      <c r="B209" s="9"/>
      <c r="C209" s="9"/>
      <c r="D209" s="9"/>
      <c r="E209" s="9"/>
      <c r="F209" s="9"/>
      <c r="G209" s="9"/>
      <c r="H209" s="9"/>
      <c r="I209" s="9"/>
      <c r="J209" s="9"/>
      <c r="K209" s="9"/>
      <c r="L209" s="9"/>
      <c r="M209" s="9"/>
      <c r="N209" s="9"/>
      <c r="O209" s="9"/>
      <c r="P209" s="9"/>
      <c r="Q209" s="179"/>
    </row>
    <row r="210" spans="1:17" x14ac:dyDescent="0.2">
      <c r="A210" s="180"/>
      <c r="B210" s="181"/>
      <c r="C210" s="181"/>
      <c r="D210" s="181"/>
      <c r="E210" s="181"/>
      <c r="F210" s="181"/>
      <c r="G210" s="181"/>
      <c r="H210" s="181"/>
      <c r="I210" s="181"/>
      <c r="J210" s="181"/>
      <c r="K210" s="181"/>
      <c r="L210" s="181"/>
      <c r="M210" s="181"/>
      <c r="N210" s="181"/>
      <c r="O210" s="181"/>
      <c r="P210" s="181"/>
      <c r="Q210" s="182"/>
    </row>
  </sheetData>
  <sheetProtection password="C44C" sheet="1" objects="1" scenarios="1"/>
  <mergeCells count="1">
    <mergeCell ref="Q1:Q2"/>
  </mergeCells>
  <phoneticPr fontId="2" type="noConversion"/>
  <pageMargins left="0.51181102362204722" right="0.51181102362204722" top="0.78740157480314965" bottom="0.78740157480314965" header="0.31496062992125984" footer="0.31496062992125984"/>
  <pageSetup paperSize="9" scale="80" fitToHeight="5"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11</vt:i4>
      </vt:variant>
      <vt:variant>
        <vt:lpstr>Intervalos nomeados</vt:lpstr>
      </vt:variant>
      <vt:variant>
        <vt:i4>4</vt:i4>
      </vt:variant>
    </vt:vector>
  </HeadingPairs>
  <TitlesOfParts>
    <vt:vector size="15" baseType="lpstr">
      <vt:lpstr>Parâmetros</vt:lpstr>
      <vt:lpstr>Introdução</vt:lpstr>
      <vt:lpstr>Recomendações</vt:lpstr>
      <vt:lpstr>01.Capa</vt:lpstr>
      <vt:lpstr>02.Especificações do Boleto</vt:lpstr>
      <vt:lpstr>03.Remessa - CNAB400</vt:lpstr>
      <vt:lpstr>04.Retorno - CNAB400</vt:lpstr>
      <vt:lpstr>05.Remessa - Opção CNAB240</vt:lpstr>
      <vt:lpstr>06.Retorno - Opção CNAB240</vt:lpstr>
      <vt:lpstr>07.Pré-homologação de Boletos</vt:lpstr>
      <vt:lpstr>08.Funções em Delphi</vt:lpstr>
      <vt:lpstr>_07._Pré_homologação_de_boletos</vt:lpstr>
      <vt:lpstr>'01.Capa'!Area_de_impressao</vt:lpstr>
      <vt:lpstr>'02.Especificações do Boleto'!Area_de_impressao</vt:lpstr>
      <vt:lpstr>'05.Remessa - Opção CNAB240'!Area_de_impressao</vt:lpstr>
    </vt:vector>
  </TitlesOfParts>
  <Company>Sicoob</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Cooperativa central de crédito do ES</dc:creator>
  <cp:lastModifiedBy>Hellber</cp:lastModifiedBy>
  <cp:lastPrinted>2013-06-21T17:54:33Z</cp:lastPrinted>
  <dcterms:created xsi:type="dcterms:W3CDTF">2009-10-31T16:32:40Z</dcterms:created>
  <dcterms:modified xsi:type="dcterms:W3CDTF">2016-07-21T17:57:31Z</dcterms:modified>
</cp:coreProperties>
</file>